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romesaveurs-my.sharepoint.com/personal/samuel_drome-saveurs_com/Documents/Bureau/JaySolution/Démos/"/>
    </mc:Choice>
  </mc:AlternateContent>
  <xr:revisionPtr revIDLastSave="11" documentId="13_ncr:1_{5D0ED08E-BE0E-4E0B-B184-0664DA197227}" xr6:coauthVersionLast="47" xr6:coauthVersionMax="47" xr10:uidLastSave="{8FF97674-72AC-4FF8-96F7-2C0AA6251B48}"/>
  <workbookProtection workbookAlgorithmName="SHA-512" workbookHashValue="bnxfQEpy9QrUxcgR858OkTGbgav3SsR79JPsZs1S87saQdYWSuHwsRSo6DlGICiMJz5KZ0Gy3ej8R66X8ZBpyw==" workbookSaltValue="C2Ch2scz/2MiEmQijbn+wg==" workbookSpinCount="100000" lockStructure="1"/>
  <bookViews>
    <workbookView xWindow="-108" yWindow="-108" windowWidth="23256" windowHeight="12456" xr2:uid="{58E18F27-7188-4202-B708-C80F9283F111}"/>
  </bookViews>
  <sheets>
    <sheet name="STATISTIQUES" sheetId="6" r:id="rId1"/>
    <sheet name="TCD STATS ventes pro" sheetId="14" state="hidden" r:id="rId2"/>
    <sheet name="SOURCE ANNEE 2024 PRO" sheetId="12" state="hidden" r:id="rId3"/>
    <sheet name="TCD boutique" sheetId="16" state="hidden" r:id="rId4"/>
    <sheet name="SOURCE 2024 BOUTIQUE" sheetId="15" state="hidden" r:id="rId5"/>
  </sheets>
  <definedNames>
    <definedName name="Segment_Commercial">#N/A</definedName>
    <definedName name="Segment_Mois">#N/A</definedName>
    <definedName name="Segment_Mois2">#N/A</definedName>
    <definedName name="Segment_Région">#N/A</definedName>
  </definedNames>
  <calcPr calcId="191029"/>
  <pivotCaches>
    <pivotCache cacheId="0" r:id="rId6"/>
    <pivotCache cacheId="9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J4" i="14" l="1"/>
  <c r="AK4" i="14"/>
  <c r="AJ5" i="14"/>
  <c r="AK5" i="14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" i="12"/>
  <c r="L1" i="14"/>
  <c r="M1" i="14"/>
  <c r="L2" i="14"/>
  <c r="M2" i="14"/>
  <c r="L3" i="14"/>
  <c r="M3" i="14"/>
  <c r="AL5" i="14" l="1"/>
  <c r="AL6" i="14"/>
  <c r="AL7" i="14"/>
  <c r="AL8" i="14"/>
  <c r="AL4" i="14"/>
  <c r="AK6" i="14"/>
  <c r="AK7" i="14"/>
  <c r="AK8" i="14"/>
  <c r="E5" i="15" l="1"/>
  <c r="E4" i="15"/>
  <c r="AJ6" i="14" l="1"/>
  <c r="AJ7" i="14"/>
  <c r="AJ8" i="14"/>
  <c r="AD2" i="14"/>
  <c r="AN2" i="14" s="1"/>
  <c r="AE2" i="14"/>
  <c r="W4" i="14"/>
  <c r="X4" i="14" s="1"/>
  <c r="W5" i="14"/>
  <c r="W6" i="14"/>
  <c r="W7" i="14"/>
  <c r="W8" i="14"/>
  <c r="Q1" i="14"/>
  <c r="R1" i="14"/>
  <c r="Q2" i="14"/>
  <c r="R2" i="14"/>
  <c r="Q3" i="14"/>
  <c r="R3" i="14"/>
  <c r="Q4" i="14"/>
  <c r="R4" i="14"/>
  <c r="Q5" i="14"/>
  <c r="R5" i="14"/>
  <c r="AO2" i="14"/>
  <c r="AP2" i="14" l="1"/>
  <c r="X8" i="14"/>
  <c r="Y8" i="14"/>
  <c r="Y7" i="14"/>
  <c r="X7" i="14"/>
  <c r="Y6" i="14"/>
  <c r="X6" i="14"/>
  <c r="X5" i="14"/>
  <c r="Y5" i="14"/>
  <c r="Y4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12F099-6F7F-4EB2-9283-FB5DBF5F544A}" keepAlive="1" name="Requête - Tableau1" description="Connexion à la requête « Tableau1 » dans le classeur." type="5" refreshedVersion="0" background="1">
    <dbPr connection="Provider=Microsoft.Mashup.OleDb.1;Data Source=$Workbook$;Location=Tableau1;Extended Properties=&quot;&quot;" command="SELECT * FROM [Tableau1]"/>
  </connection>
</connections>
</file>

<file path=xl/sharedStrings.xml><?xml version="1.0" encoding="utf-8"?>
<sst xmlns="http://schemas.openxmlformats.org/spreadsheetml/2006/main" count="204" uniqueCount="68">
  <si>
    <t>Commercial</t>
  </si>
  <si>
    <t>Entreprise</t>
  </si>
  <si>
    <t>Date</t>
  </si>
  <si>
    <t>Prix Net</t>
  </si>
  <si>
    <t>Région</t>
  </si>
  <si>
    <t xml:space="preserve"> </t>
  </si>
  <si>
    <t>Auvergne R.A</t>
  </si>
  <si>
    <t>P.A.C.A</t>
  </si>
  <si>
    <t xml:space="preserve">Quantité </t>
  </si>
  <si>
    <t>Total général</t>
  </si>
  <si>
    <t>Mois</t>
  </si>
  <si>
    <t>janv</t>
  </si>
  <si>
    <t>mars</t>
  </si>
  <si>
    <t>avr</t>
  </si>
  <si>
    <t>mai</t>
  </si>
  <si>
    <t>juin</t>
  </si>
  <si>
    <t>juil</t>
  </si>
  <si>
    <t>août</t>
  </si>
  <si>
    <t>sept</t>
  </si>
  <si>
    <t>Prix</t>
  </si>
  <si>
    <t>Somme de Prix</t>
  </si>
  <si>
    <t>Étiquettes de lignes</t>
  </si>
  <si>
    <t>(Tous)</t>
  </si>
  <si>
    <t>oct</t>
  </si>
  <si>
    <t>mois</t>
  </si>
  <si>
    <t>somme</t>
  </si>
  <si>
    <t>Ventes boutique</t>
  </si>
  <si>
    <t>Somme de somme</t>
  </si>
  <si>
    <t>Total</t>
  </si>
  <si>
    <t>01-juil</t>
  </si>
  <si>
    <t>01-août</t>
  </si>
  <si>
    <t>01-sept</t>
  </si>
  <si>
    <t>Parfum</t>
  </si>
  <si>
    <t>Format</t>
  </si>
  <si>
    <t>Occitanie</t>
  </si>
  <si>
    <t>Somme de Prix2</t>
  </si>
  <si>
    <t>Valeurs</t>
  </si>
  <si>
    <t>Somme de somme2</t>
  </si>
  <si>
    <t>CA</t>
  </si>
  <si>
    <t>% CA</t>
  </si>
  <si>
    <t>%CA</t>
  </si>
  <si>
    <t>% du CA</t>
  </si>
  <si>
    <t>% autres</t>
  </si>
  <si>
    <t>01-oct</t>
  </si>
  <si>
    <t>01-nov</t>
  </si>
  <si>
    <t>01-déc</t>
  </si>
  <si>
    <t>Commercial A</t>
  </si>
  <si>
    <t>Commercial B</t>
  </si>
  <si>
    <t>Commercial C</t>
  </si>
  <si>
    <t>déc</t>
  </si>
  <si>
    <t>client1</t>
  </si>
  <si>
    <t>client2</t>
  </si>
  <si>
    <t>client3</t>
  </si>
  <si>
    <t>client4</t>
  </si>
  <si>
    <t>client5</t>
  </si>
  <si>
    <t>chocolat au lait</t>
  </si>
  <si>
    <t>citron</t>
  </si>
  <si>
    <t>vanille</t>
  </si>
  <si>
    <t>caramel</t>
  </si>
  <si>
    <t>yaourt</t>
  </si>
  <si>
    <t>mangue</t>
  </si>
  <si>
    <t>2,5L</t>
  </si>
  <si>
    <t>800ml</t>
  </si>
  <si>
    <t>1L</t>
  </si>
  <si>
    <t>févr</t>
  </si>
  <si>
    <t>Commercial D</t>
  </si>
  <si>
    <t>Commercial E</t>
  </si>
  <si>
    <t>5L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</si>
</sst>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#,##0.00\ &quot;€&quot;;[Red]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E3ABCB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pivotButton="1"/>
    <xf numFmtId="164" fontId="0" fillId="0" borderId="0" xfId="0" applyNumberFormat="1"/>
    <xf numFmtId="0" fontId="0" fillId="0" borderId="0" xfId="0" applyFont="1"/>
    <xf numFmtId="14" fontId="0" fillId="0" borderId="0" xfId="0" applyNumberFormat="1" applyFont="1"/>
    <xf numFmtId="8" fontId="0" fillId="0" borderId="0" xfId="0" applyNumberFormat="1" applyFont="1"/>
    <xf numFmtId="0" fontId="0" fillId="0" borderId="0" xfId="0" applyAlignment="1">
      <alignment horizontal="left"/>
    </xf>
    <xf numFmtId="164" fontId="1" fillId="3" borderId="0" xfId="0" applyNumberFormat="1" applyFont="1" applyFill="1"/>
    <xf numFmtId="0" fontId="1" fillId="3" borderId="0" xfId="0" applyFont="1" applyFill="1"/>
    <xf numFmtId="0" fontId="2" fillId="2" borderId="0" xfId="0" applyFont="1" applyFill="1"/>
    <xf numFmtId="164" fontId="2" fillId="3" borderId="0" xfId="0" applyNumberFormat="1" applyFont="1" applyFill="1"/>
    <xf numFmtId="0" fontId="2" fillId="2" borderId="0" xfId="0" applyFont="1" applyFill="1" applyAlignment="1">
      <alignment horizontal="left"/>
    </xf>
    <xf numFmtId="17" fontId="0" fillId="0" borderId="0" xfId="0" applyNumberFormat="1"/>
    <xf numFmtId="17" fontId="0" fillId="0" borderId="0" xfId="0" applyNumberFormat="1" applyFont="1"/>
    <xf numFmtId="164" fontId="0" fillId="5" borderId="2" xfId="0" applyNumberFormat="1" applyFont="1" applyFill="1" applyBorder="1" applyAlignment="1">
      <alignment horizontal="center" vertical="center"/>
    </xf>
    <xf numFmtId="17" fontId="0" fillId="4" borderId="1" xfId="0" applyNumberFormat="1" applyFont="1" applyFill="1" applyBorder="1"/>
    <xf numFmtId="17" fontId="0" fillId="0" borderId="1" xfId="0" applyNumberFormat="1" applyFont="1" applyBorder="1"/>
    <xf numFmtId="0" fontId="3" fillId="0" borderId="0" xfId="0" applyFont="1"/>
    <xf numFmtId="0" fontId="0" fillId="3" borderId="0" xfId="0" applyFill="1" applyAlignment="1">
      <alignment wrapText="1"/>
    </xf>
    <xf numFmtId="0" fontId="1" fillId="2" borderId="0" xfId="0" applyFont="1" applyFill="1"/>
    <xf numFmtId="10" fontId="0" fillId="0" borderId="0" xfId="0" applyNumberFormat="1"/>
    <xf numFmtId="10" fontId="2" fillId="3" borderId="0" xfId="0" applyNumberFormat="1" applyFont="1" applyFill="1"/>
    <xf numFmtId="0" fontId="2" fillId="3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17" fontId="0" fillId="0" borderId="0" xfId="0" applyNumberFormat="1" applyFont="1" applyBorder="1"/>
    <xf numFmtId="164" fontId="0" fillId="5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2" formatCode="mmm\-yy"/>
    </dxf>
    <dxf>
      <numFmt numFmtId="164" formatCode="#,##0.00\ &quot;€&quot;"/>
    </dxf>
    <dxf>
      <numFmt numFmtId="164" formatCode="#,##0.00\ &quot;€&quot;"/>
    </dxf>
    <dxf>
      <font>
        <i val="0"/>
      </font>
      <numFmt numFmtId="12" formatCode="#,##0.00\ &quot;€&quot;;[Red]\-#,##0.00\ &quot;€&quot;"/>
    </dxf>
    <dxf>
      <font>
        <i val="0"/>
      </font>
      <numFmt numFmtId="12" formatCode="#,##0.00\ &quot;€&quot;;[Red]\-#,##0.00\ &quot;€&quot;"/>
    </dxf>
    <dxf>
      <font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i val="0"/>
      </font>
      <numFmt numFmtId="0" formatCode="General"/>
    </dxf>
    <dxf>
      <font>
        <i val="0"/>
      </font>
      <numFmt numFmtId="19" formatCode="dd/mm/yyyy"/>
    </dxf>
    <dxf>
      <font>
        <i val="0"/>
      </font>
    </dxf>
    <dxf>
      <font>
        <i val="0"/>
      </font>
    </dxf>
    <dxf>
      <font>
        <i val="0"/>
      </font>
    </dxf>
    <dxf>
      <font>
        <i val="0"/>
      </font>
    </dxf>
    <dxf>
      <font>
        <b/>
        <i val="0"/>
      </font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font>
        <color theme="0"/>
      </font>
      <border>
        <bottom style="thin">
          <color theme="4"/>
        </bottom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 xr9:uid="{C8147B34-D01A-47EB-A447-3E930ADD09A0}">
      <tableStyleElement type="wholeTable" dxfId="25"/>
      <tableStyleElement type="headerRow" dxfId="24"/>
    </tableStyle>
  </tableStyles>
  <colors>
    <mruColors>
      <color rgb="FFE3ABCB"/>
      <color rgb="FFC0A0BE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C0A0B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3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[Interface stat de vente-démo.xlsm]TCD STATS ventes pro!Tableau croisé dynamique3</c:name>
    <c:fmtId val="2"/>
  </c:pivotSource>
  <c:chart>
    <c:autoTitleDeleted val="0"/>
    <c:pivotFmts>
      <c:pivotFmt>
        <c:idx val="0"/>
        <c:spPr>
          <a:gradFill>
            <a:gsLst>
              <a:gs pos="52000">
                <a:srgbClr val="647BA7"/>
              </a:gs>
              <a:gs pos="0">
                <a:srgbClr val="00206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E3ABC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52000">
                <a:srgbClr val="647BA7"/>
              </a:gs>
              <a:gs pos="0">
                <a:srgbClr val="00206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E3ABC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52000">
                <a:srgbClr val="647BA7"/>
              </a:gs>
              <a:gs pos="0">
                <a:srgbClr val="00206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44450" cap="rnd">
            <a:solidFill>
              <a:srgbClr val="E3ABCB"/>
            </a:solidFill>
            <a:round/>
          </a:ln>
          <a:effectLst>
            <a:glow rad="38100">
              <a:srgbClr val="E3ABCB">
                <a:alpha val="40000"/>
              </a:srgbClr>
            </a:glow>
            <a:outerShdw blurRad="50800" dist="50800" dir="5400000" algn="ctr" rotWithShape="0">
              <a:srgbClr val="E3ABCB"/>
            </a:outerShdw>
          </a:effectLst>
        </c:spPr>
        <c:marker>
          <c:symbol val="circle"/>
          <c:size val="13"/>
          <c:spPr>
            <a:pattFill prst="lgConfetti">
              <a:fgClr>
                <a:srgbClr val="E3ABCB"/>
              </a:fgClr>
              <a:bgClr>
                <a:schemeClr val="bg1"/>
              </a:bgClr>
            </a:pattFill>
            <a:ln w="25400">
              <a:solidFill>
                <a:srgbClr val="E3ABCB"/>
              </a:solidFill>
            </a:ln>
            <a:effectLst>
              <a:glow rad="38100">
                <a:srgbClr val="E3ABCB">
                  <a:alpha val="40000"/>
                </a:srgbClr>
              </a:glow>
              <a:outerShdw blurRad="50800" dist="50800" dir="5400000" algn="ctr" rotWithShape="0">
                <a:srgbClr val="E3ABCB"/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'TCD STATS ventes pro'!$E$3</c:f>
              <c:strCache>
                <c:ptCount val="1"/>
                <c:pt idx="0">
                  <c:v>Somme de Prix</c:v>
                </c:pt>
              </c:strCache>
            </c:strRef>
          </c:tx>
          <c:spPr>
            <a:gradFill>
              <a:gsLst>
                <a:gs pos="52000">
                  <a:srgbClr val="647BA7"/>
                </a:gs>
                <a:gs pos="0">
                  <a:srgbClr val="00206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'TCD STATS ventes pro'!$D$4:$D$11</c:f>
              <c:strCache>
                <c:ptCount val="7"/>
                <c:pt idx="0">
                  <c:v>janv</c:v>
                </c:pt>
                <c:pt idx="1">
                  <c:v>févr</c:v>
                </c:pt>
                <c:pt idx="2">
                  <c:v>mai</c:v>
                </c:pt>
                <c:pt idx="3">
                  <c:v>juil</c:v>
                </c:pt>
                <c:pt idx="4">
                  <c:v>août</c:v>
                </c:pt>
                <c:pt idx="5">
                  <c:v>sept</c:v>
                </c:pt>
                <c:pt idx="6">
                  <c:v>déc</c:v>
                </c:pt>
              </c:strCache>
            </c:strRef>
          </c:cat>
          <c:val>
            <c:numRef>
              <c:f>'TCD STATS ventes pro'!$E$4:$E$11</c:f>
              <c:numCache>
                <c:formatCode>#,##0.00\ "€"</c:formatCode>
                <c:ptCount val="7"/>
                <c:pt idx="0">
                  <c:v>600</c:v>
                </c:pt>
                <c:pt idx="1">
                  <c:v>600</c:v>
                </c:pt>
                <c:pt idx="2">
                  <c:v>1800</c:v>
                </c:pt>
                <c:pt idx="3">
                  <c:v>2000</c:v>
                </c:pt>
                <c:pt idx="4">
                  <c:v>2800</c:v>
                </c:pt>
                <c:pt idx="5">
                  <c:v>160</c:v>
                </c:pt>
                <c:pt idx="6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9-4E51-80CC-A243ED9B8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739472"/>
        <c:axId val="943740456"/>
      </c:areaChart>
      <c:lineChart>
        <c:grouping val="stacked"/>
        <c:varyColors val="0"/>
        <c:ser>
          <c:idx val="1"/>
          <c:order val="1"/>
          <c:tx>
            <c:strRef>
              <c:f>'TCD STATS ventes pro'!$F$3</c:f>
              <c:strCache>
                <c:ptCount val="1"/>
                <c:pt idx="0">
                  <c:v>Somme de Prix2</c:v>
                </c:pt>
              </c:strCache>
            </c:strRef>
          </c:tx>
          <c:spPr>
            <a:ln w="44450" cap="rnd">
              <a:solidFill>
                <a:srgbClr val="E3ABCB"/>
              </a:solidFill>
              <a:round/>
            </a:ln>
            <a:effectLst>
              <a:glow rad="38100">
                <a:srgbClr val="E3ABCB">
                  <a:alpha val="40000"/>
                </a:srgbClr>
              </a:glow>
              <a:outerShdw blurRad="50800" dist="50800" dir="5400000" algn="ctr" rotWithShape="0">
                <a:srgbClr val="E3ABCB"/>
              </a:outerShdw>
            </a:effectLst>
          </c:spPr>
          <c:marker>
            <c:symbol val="circle"/>
            <c:size val="13"/>
            <c:spPr>
              <a:pattFill prst="lgConfetti">
                <a:fgClr>
                  <a:srgbClr val="E3ABCB"/>
                </a:fgClr>
                <a:bgClr>
                  <a:schemeClr val="bg1"/>
                </a:bgClr>
              </a:pattFill>
              <a:ln w="25400">
                <a:solidFill>
                  <a:srgbClr val="E3ABCB"/>
                </a:solidFill>
              </a:ln>
              <a:effectLst>
                <a:glow rad="38100">
                  <a:srgbClr val="E3ABCB">
                    <a:alpha val="40000"/>
                  </a:srgbClr>
                </a:glow>
                <a:outerShdw blurRad="50800" dist="50800" dir="5400000" algn="ctr" rotWithShape="0">
                  <a:srgbClr val="E3ABCB"/>
                </a:outerShdw>
              </a:effectLst>
            </c:spPr>
          </c:marker>
          <c:cat>
            <c:strRef>
              <c:f>'TCD STATS ventes pro'!$D$4:$D$11</c:f>
              <c:strCache>
                <c:ptCount val="7"/>
                <c:pt idx="0">
                  <c:v>janv</c:v>
                </c:pt>
                <c:pt idx="1">
                  <c:v>févr</c:v>
                </c:pt>
                <c:pt idx="2">
                  <c:v>mai</c:v>
                </c:pt>
                <c:pt idx="3">
                  <c:v>juil</c:v>
                </c:pt>
                <c:pt idx="4">
                  <c:v>août</c:v>
                </c:pt>
                <c:pt idx="5">
                  <c:v>sept</c:v>
                </c:pt>
                <c:pt idx="6">
                  <c:v>déc</c:v>
                </c:pt>
              </c:strCache>
            </c:strRef>
          </c:cat>
          <c:val>
            <c:numRef>
              <c:f>'TCD STATS ventes pro'!$F$4:$F$11</c:f>
              <c:numCache>
                <c:formatCode>#,##0.00\ "€"</c:formatCode>
                <c:ptCount val="7"/>
                <c:pt idx="0">
                  <c:v>600</c:v>
                </c:pt>
                <c:pt idx="1">
                  <c:v>600</c:v>
                </c:pt>
                <c:pt idx="2">
                  <c:v>1800</c:v>
                </c:pt>
                <c:pt idx="3">
                  <c:v>2000</c:v>
                </c:pt>
                <c:pt idx="4">
                  <c:v>2800</c:v>
                </c:pt>
                <c:pt idx="5">
                  <c:v>160</c:v>
                </c:pt>
                <c:pt idx="6">
                  <c:v>220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519-4E51-80CC-A243ED9B8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739472"/>
        <c:axId val="943740456"/>
      </c:lineChart>
      <c:catAx>
        <c:axId val="94373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glow rad="38100">
              <a:srgbClr val="E3ABCB">
                <a:alpha val="40000"/>
              </a:srgbClr>
            </a:glow>
            <a:outerShdw blurRad="50800" dist="50800" dir="5400000" algn="ctr" rotWithShape="0">
              <a:srgbClr val="E3ABCB"/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3740456"/>
        <c:crosses val="autoZero"/>
        <c:auto val="1"/>
        <c:lblAlgn val="ctr"/>
        <c:lblOffset val="100"/>
        <c:noMultiLvlLbl val="0"/>
      </c:catAx>
      <c:valAx>
        <c:axId val="943740456"/>
        <c:scaling>
          <c:orientation val="minMax"/>
        </c:scaling>
        <c:delete val="0"/>
        <c:axPos val="l"/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>
            <a:glow rad="38100">
              <a:srgbClr val="E3ABCB">
                <a:alpha val="40000"/>
              </a:srgbClr>
            </a:glow>
            <a:outerShdw blurRad="50800" dist="50800" dir="5400000" algn="ctr" rotWithShape="0">
              <a:srgbClr val="E3ABCB"/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373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[Interface stat de vente-démo.xlsm]TCD boutique!Tableau croisé dynamique4</c:name>
    <c:fmtId val="2"/>
  </c:pivotSource>
  <c:chart>
    <c:autoTitleDeleted val="0"/>
    <c:pivotFmts>
      <c:pivotFmt>
        <c:idx val="0"/>
        <c:spPr>
          <a:gradFill>
            <a:gsLst>
              <a:gs pos="45000">
                <a:srgbClr val="002060"/>
              </a:gs>
              <a:gs pos="0">
                <a:srgbClr val="00206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50800" cap="rnd">
            <a:solidFill>
              <a:srgbClr val="E3ABCB"/>
            </a:solidFill>
            <a:round/>
          </a:ln>
          <a:effectLst/>
        </c:spPr>
        <c:marker>
          <c:symbol val="circle"/>
          <c:size val="5"/>
          <c:spPr>
            <a:solidFill>
              <a:srgbClr val="E3ABCB"/>
            </a:solidFill>
            <a:ln w="15875">
              <a:solidFill>
                <a:srgbClr val="E3ABC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45000">
                <a:srgbClr val="002060"/>
              </a:gs>
              <a:gs pos="0">
                <a:srgbClr val="00206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50800" cap="rnd">
            <a:solidFill>
              <a:srgbClr val="E3ABCB"/>
            </a:solidFill>
            <a:round/>
          </a:ln>
          <a:effectLst/>
        </c:spPr>
        <c:marker>
          <c:symbol val="circle"/>
          <c:size val="5"/>
          <c:spPr>
            <a:solidFill>
              <a:srgbClr val="E3ABCB"/>
            </a:solidFill>
            <a:ln w="15875">
              <a:solidFill>
                <a:srgbClr val="E3ABC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13000">
                <a:srgbClr val="002060"/>
              </a:gs>
              <a:gs pos="0">
                <a:srgbClr val="00206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44450" cap="rnd">
            <a:solidFill>
              <a:srgbClr val="E3ABCB"/>
            </a:solidFill>
            <a:round/>
          </a:ln>
          <a:effectLst>
            <a:glow rad="50800">
              <a:srgbClr val="E3ABCB">
                <a:alpha val="40000"/>
              </a:srgbClr>
            </a:glow>
          </a:effectLst>
        </c:spPr>
        <c:marker>
          <c:symbol val="circle"/>
          <c:size val="13"/>
          <c:spPr>
            <a:pattFill prst="lgConfetti">
              <a:fgClr>
                <a:srgbClr val="E3ABCB"/>
              </a:fgClr>
              <a:bgClr>
                <a:schemeClr val="bg1"/>
              </a:bgClr>
            </a:pattFill>
            <a:ln w="25400">
              <a:solidFill>
                <a:srgbClr val="E3ABCB"/>
              </a:solidFill>
            </a:ln>
            <a:effectLst>
              <a:glow rad="50800">
                <a:srgbClr val="E3ABCB">
                  <a:alpha val="40000"/>
                </a:srgb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'TCD boutique'!$E$3:$E$4</c:f>
              <c:strCache>
                <c:ptCount val="1"/>
                <c:pt idx="0">
                  <c:v>Somme de somme</c:v>
                </c:pt>
              </c:strCache>
            </c:strRef>
          </c:tx>
          <c:spPr>
            <a:gradFill>
              <a:gsLst>
                <a:gs pos="13000">
                  <a:srgbClr val="002060"/>
                </a:gs>
                <a:gs pos="0">
                  <a:srgbClr val="00206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'TCD boutique'!$D$5:$D$11</c:f>
              <c:strCache>
                <c:ptCount val="6"/>
                <c:pt idx="0">
                  <c:v>01-juil</c:v>
                </c:pt>
                <c:pt idx="1">
                  <c:v>01-août</c:v>
                </c:pt>
                <c:pt idx="2">
                  <c:v>01-sept</c:v>
                </c:pt>
                <c:pt idx="3">
                  <c:v>01-oct</c:v>
                </c:pt>
                <c:pt idx="4">
                  <c:v>01-nov</c:v>
                </c:pt>
                <c:pt idx="5">
                  <c:v>01-déc</c:v>
                </c:pt>
              </c:strCache>
            </c:strRef>
          </c:cat>
          <c:val>
            <c:numRef>
              <c:f>'TCD boutique'!$E$5:$E$11</c:f>
              <c:numCache>
                <c:formatCode>#,##0.00\ "€"</c:formatCode>
                <c:ptCount val="6"/>
                <c:pt idx="0">
                  <c:v>3000</c:v>
                </c:pt>
                <c:pt idx="1">
                  <c:v>200</c:v>
                </c:pt>
                <c:pt idx="2">
                  <c:v>500</c:v>
                </c:pt>
                <c:pt idx="3">
                  <c:v>200</c:v>
                </c:pt>
                <c:pt idx="4">
                  <c:v>300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D-4E3A-929E-800FD6043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489112"/>
        <c:axId val="1189490096"/>
      </c:areaChart>
      <c:lineChart>
        <c:grouping val="stacked"/>
        <c:varyColors val="0"/>
        <c:ser>
          <c:idx val="1"/>
          <c:order val="1"/>
          <c:tx>
            <c:strRef>
              <c:f>'TCD boutique'!$F$3:$F$4</c:f>
              <c:strCache>
                <c:ptCount val="1"/>
                <c:pt idx="0">
                  <c:v>Somme de somme2</c:v>
                </c:pt>
              </c:strCache>
            </c:strRef>
          </c:tx>
          <c:spPr>
            <a:ln w="44450" cap="rnd">
              <a:solidFill>
                <a:srgbClr val="E3ABCB"/>
              </a:solidFill>
              <a:round/>
            </a:ln>
            <a:effectLst>
              <a:glow rad="50800">
                <a:srgbClr val="E3ABCB">
                  <a:alpha val="40000"/>
                </a:srgbClr>
              </a:glow>
            </a:effectLst>
          </c:spPr>
          <c:marker>
            <c:symbol val="circle"/>
            <c:size val="13"/>
            <c:spPr>
              <a:pattFill prst="lgConfetti">
                <a:fgClr>
                  <a:srgbClr val="E3ABCB"/>
                </a:fgClr>
                <a:bgClr>
                  <a:schemeClr val="bg1"/>
                </a:bgClr>
              </a:pattFill>
              <a:ln w="25400">
                <a:solidFill>
                  <a:srgbClr val="E3ABCB"/>
                </a:solidFill>
              </a:ln>
              <a:effectLst>
                <a:glow rad="50800">
                  <a:srgbClr val="E3ABCB">
                    <a:alpha val="40000"/>
                  </a:srgbClr>
                </a:glow>
              </a:effectLst>
            </c:spPr>
          </c:marker>
          <c:cat>
            <c:strRef>
              <c:f>'TCD boutique'!$D$5:$D$11</c:f>
              <c:strCache>
                <c:ptCount val="6"/>
                <c:pt idx="0">
                  <c:v>01-juil</c:v>
                </c:pt>
                <c:pt idx="1">
                  <c:v>01-août</c:v>
                </c:pt>
                <c:pt idx="2">
                  <c:v>01-sept</c:v>
                </c:pt>
                <c:pt idx="3">
                  <c:v>01-oct</c:v>
                </c:pt>
                <c:pt idx="4">
                  <c:v>01-nov</c:v>
                </c:pt>
                <c:pt idx="5">
                  <c:v>01-déc</c:v>
                </c:pt>
              </c:strCache>
            </c:strRef>
          </c:cat>
          <c:val>
            <c:numRef>
              <c:f>'TCD boutique'!$F$5:$F$11</c:f>
              <c:numCache>
                <c:formatCode>#,##0.00\ "€"</c:formatCode>
                <c:ptCount val="6"/>
                <c:pt idx="0">
                  <c:v>3000</c:v>
                </c:pt>
                <c:pt idx="1">
                  <c:v>200</c:v>
                </c:pt>
                <c:pt idx="2">
                  <c:v>500</c:v>
                </c:pt>
                <c:pt idx="3">
                  <c:v>200</c:v>
                </c:pt>
                <c:pt idx="4">
                  <c:v>300</c:v>
                </c:pt>
                <c:pt idx="5">
                  <c:v>800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06D-4E3A-929E-800FD6043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489112"/>
        <c:axId val="1189490096"/>
      </c:lineChart>
      <c:catAx>
        <c:axId val="1189489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glow rad="38100">
              <a:srgbClr val="E3ABCB">
                <a:alpha val="40000"/>
              </a:srgbClr>
            </a:glow>
            <a:outerShdw blurRad="50800" dist="50800" dir="5400000" algn="ctr" rotWithShape="0">
              <a:srgbClr val="E3ABCB"/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490096"/>
        <c:crosses val="autoZero"/>
        <c:auto val="1"/>
        <c:lblAlgn val="ctr"/>
        <c:lblOffset val="100"/>
        <c:noMultiLvlLbl val="0"/>
      </c:catAx>
      <c:valAx>
        <c:axId val="1189490096"/>
        <c:scaling>
          <c:orientation val="minMax"/>
        </c:scaling>
        <c:delete val="0"/>
        <c:axPos val="l"/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>
            <a:glow rad="38100">
              <a:srgbClr val="E3ABCB">
                <a:alpha val="40000"/>
              </a:srgbClr>
            </a:glow>
            <a:outerShdw blurRad="50800" dist="50800" dir="5400000" algn="ctr" rotWithShape="0">
              <a:srgbClr val="E3ABCB"/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48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gradFill>
              <a:gsLst>
                <a:gs pos="0">
                  <a:srgbClr val="E3ABCB"/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 w="63500">
              <a:solidFill>
                <a:srgbClr val="002060"/>
              </a:solidFill>
            </a:ln>
          </c:spPr>
          <c:dPt>
            <c:idx val="0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E-4E9C-9900-C61999A96739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9E-4E9C-9900-C61999A96739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9E-4E9C-9900-C61999A96739}"/>
              </c:ext>
            </c:extLst>
          </c:dPt>
          <c:dPt>
            <c:idx val="3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9E-4E9C-9900-C61999A96739}"/>
              </c:ext>
            </c:extLst>
          </c:dPt>
          <c:dPt>
            <c:idx val="4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9E-4E9C-9900-C61999A96739}"/>
              </c:ext>
            </c:extLst>
          </c:dPt>
          <c:dPt>
            <c:idx val="5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9E-4E9C-9900-C61999A96739}"/>
              </c:ext>
            </c:extLst>
          </c:dPt>
          <c:dPt>
            <c:idx val="6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9E-4E9C-9900-C61999A96739}"/>
              </c:ext>
            </c:extLst>
          </c:dPt>
          <c:dPt>
            <c:idx val="7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49E-4E9C-9900-C61999A96739}"/>
              </c:ext>
            </c:extLst>
          </c:dPt>
          <c:dPt>
            <c:idx val="8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49E-4E9C-9900-C61999A96739}"/>
              </c:ext>
            </c:extLst>
          </c:dPt>
          <c:dPt>
            <c:idx val="9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49E-4E9C-9900-C61999A96739}"/>
              </c:ext>
            </c:extLst>
          </c:dPt>
          <c:dPt>
            <c:idx val="10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49E-4E9C-9900-C61999A96739}"/>
              </c:ext>
            </c:extLst>
          </c:dPt>
          <c:dPt>
            <c:idx val="11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49E-4E9C-9900-C61999A96739}"/>
              </c:ext>
            </c:extLst>
          </c:dPt>
          <c:dPt>
            <c:idx val="12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49E-4E9C-9900-C61999A96739}"/>
              </c:ext>
            </c:extLst>
          </c:dPt>
          <c:dPt>
            <c:idx val="13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49E-4E9C-9900-C61999A96739}"/>
              </c:ext>
            </c:extLst>
          </c:dPt>
          <c:dPt>
            <c:idx val="14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49E-4E9C-9900-C61999A96739}"/>
              </c:ext>
            </c:extLst>
          </c:dPt>
          <c:dPt>
            <c:idx val="15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349E-4E9C-9900-C61999A96739}"/>
              </c:ext>
            </c:extLst>
          </c:dPt>
          <c:dPt>
            <c:idx val="16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349E-4E9C-9900-C61999A96739}"/>
              </c:ext>
            </c:extLst>
          </c:dPt>
          <c:dPt>
            <c:idx val="17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349E-4E9C-9900-C61999A96739}"/>
              </c:ext>
            </c:extLst>
          </c:dPt>
          <c:dPt>
            <c:idx val="18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349E-4E9C-9900-C61999A96739}"/>
              </c:ext>
            </c:extLst>
          </c:dPt>
          <c:dPt>
            <c:idx val="19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349E-4E9C-9900-C61999A96739}"/>
              </c:ext>
            </c:extLst>
          </c:dPt>
          <c:dPt>
            <c:idx val="20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349E-4E9C-9900-C61999A96739}"/>
              </c:ext>
            </c:extLst>
          </c:dPt>
          <c:dPt>
            <c:idx val="21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349E-4E9C-9900-C61999A96739}"/>
              </c:ext>
            </c:extLst>
          </c:dPt>
          <c:dPt>
            <c:idx val="22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349E-4E9C-9900-C61999A96739}"/>
              </c:ext>
            </c:extLst>
          </c:dPt>
          <c:dPt>
            <c:idx val="23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349E-4E9C-9900-C61999A96739}"/>
              </c:ext>
            </c:extLst>
          </c:dPt>
          <c:dPt>
            <c:idx val="24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349E-4E9C-9900-C61999A96739}"/>
              </c:ext>
            </c:extLst>
          </c:dPt>
          <c:dPt>
            <c:idx val="25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349E-4E9C-9900-C61999A96739}"/>
              </c:ext>
            </c:extLst>
          </c:dPt>
          <c:dPt>
            <c:idx val="26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349E-4E9C-9900-C61999A96739}"/>
              </c:ext>
            </c:extLst>
          </c:dPt>
          <c:dPt>
            <c:idx val="27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349E-4E9C-9900-C61999A96739}"/>
              </c:ext>
            </c:extLst>
          </c:dPt>
          <c:dPt>
            <c:idx val="28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349E-4E9C-9900-C61999A96739}"/>
              </c:ext>
            </c:extLst>
          </c:dPt>
          <c:dPt>
            <c:idx val="29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349E-4E9C-9900-C61999A96739}"/>
              </c:ext>
            </c:extLst>
          </c:dPt>
          <c:dPt>
            <c:idx val="30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349E-4E9C-9900-C61999A96739}"/>
              </c:ext>
            </c:extLst>
          </c:dPt>
          <c:dPt>
            <c:idx val="31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349E-4E9C-9900-C61999A96739}"/>
              </c:ext>
            </c:extLst>
          </c:dPt>
          <c:dPt>
            <c:idx val="32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349E-4E9C-9900-C61999A96739}"/>
              </c:ext>
            </c:extLst>
          </c:dPt>
          <c:dPt>
            <c:idx val="33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349E-4E9C-9900-C61999A96739}"/>
              </c:ext>
            </c:extLst>
          </c:dPt>
          <c:dPt>
            <c:idx val="34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349E-4E9C-9900-C61999A96739}"/>
              </c:ext>
            </c:extLst>
          </c:dPt>
          <c:dPt>
            <c:idx val="35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349E-4E9C-9900-C61999A96739}"/>
              </c:ext>
            </c:extLst>
          </c:dPt>
          <c:dPt>
            <c:idx val="36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349E-4E9C-9900-C61999A96739}"/>
              </c:ext>
            </c:extLst>
          </c:dPt>
          <c:dPt>
            <c:idx val="37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349E-4E9C-9900-C61999A96739}"/>
              </c:ext>
            </c:extLst>
          </c:dPt>
          <c:dPt>
            <c:idx val="38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349E-4E9C-9900-C61999A96739}"/>
              </c:ext>
            </c:extLst>
          </c:dPt>
          <c:dPt>
            <c:idx val="39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349E-4E9C-9900-C61999A96739}"/>
              </c:ext>
            </c:extLst>
          </c:dPt>
          <c:dPt>
            <c:idx val="40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349E-4E9C-9900-C61999A96739}"/>
              </c:ext>
            </c:extLst>
          </c:dPt>
          <c:dPt>
            <c:idx val="41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349E-4E9C-9900-C61999A96739}"/>
              </c:ext>
            </c:extLst>
          </c:dPt>
          <c:dPt>
            <c:idx val="42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349E-4E9C-9900-C61999A96739}"/>
              </c:ext>
            </c:extLst>
          </c:dPt>
          <c:dPt>
            <c:idx val="43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349E-4E9C-9900-C61999A96739}"/>
              </c:ext>
            </c:extLst>
          </c:dPt>
          <c:dPt>
            <c:idx val="44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349E-4E9C-9900-C61999A96739}"/>
              </c:ext>
            </c:extLst>
          </c:dPt>
          <c:dPt>
            <c:idx val="45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349E-4E9C-9900-C61999A96739}"/>
              </c:ext>
            </c:extLst>
          </c:dPt>
          <c:dPt>
            <c:idx val="46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349E-4E9C-9900-C61999A96739}"/>
              </c:ext>
            </c:extLst>
          </c:dPt>
          <c:dPt>
            <c:idx val="47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349E-4E9C-9900-C61999A96739}"/>
              </c:ext>
            </c:extLst>
          </c:dPt>
          <c:dPt>
            <c:idx val="48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349E-4E9C-9900-C61999A96739}"/>
              </c:ext>
            </c:extLst>
          </c:dPt>
          <c:dPt>
            <c:idx val="49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349E-4E9C-9900-C61999A96739}"/>
              </c:ext>
            </c:extLst>
          </c:dPt>
          <c:dPt>
            <c:idx val="50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349E-4E9C-9900-C61999A96739}"/>
              </c:ext>
            </c:extLst>
          </c:dPt>
          <c:dPt>
            <c:idx val="51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349E-4E9C-9900-C61999A96739}"/>
              </c:ext>
            </c:extLst>
          </c:dPt>
          <c:dPt>
            <c:idx val="52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349E-4E9C-9900-C61999A96739}"/>
              </c:ext>
            </c:extLst>
          </c:dPt>
          <c:dPt>
            <c:idx val="53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349E-4E9C-9900-C61999A96739}"/>
              </c:ext>
            </c:extLst>
          </c:dPt>
          <c:dPt>
            <c:idx val="54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349E-4E9C-9900-C61999A96739}"/>
              </c:ext>
            </c:extLst>
          </c:dPt>
          <c:dPt>
            <c:idx val="55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349E-4E9C-9900-C61999A96739}"/>
              </c:ext>
            </c:extLst>
          </c:dPt>
          <c:dPt>
            <c:idx val="56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349E-4E9C-9900-C61999A96739}"/>
              </c:ext>
            </c:extLst>
          </c:dPt>
          <c:dPt>
            <c:idx val="57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349E-4E9C-9900-C61999A96739}"/>
              </c:ext>
            </c:extLst>
          </c:dPt>
          <c:dPt>
            <c:idx val="58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349E-4E9C-9900-C61999A96739}"/>
              </c:ext>
            </c:extLst>
          </c:dPt>
          <c:dPt>
            <c:idx val="59"/>
            <c:bubble3D val="0"/>
            <c:spPr>
              <a:gradFill>
                <a:gsLst>
                  <a:gs pos="0">
                    <a:srgbClr val="E3ABCB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6350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349E-4E9C-9900-C61999A96739}"/>
              </c:ext>
            </c:extLst>
          </c:dPt>
          <c:val>
            <c:numRef>
              <c:f>'TCD STATS ventes pro'!$AM$1:$AM$60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349E-4E9C-9900-C61999A96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1"/>
          <c:order val="1"/>
          <c:tx>
            <c:strRef>
              <c:f>'TCD STATS ventes pro'!$AN$1</c:f>
              <c:strCache>
                <c:ptCount val="1"/>
                <c:pt idx="0">
                  <c:v>Région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A-349E-4E9C-9900-C61999A96739}"/>
              </c:ext>
            </c:extLst>
          </c:dPt>
          <c:dPt>
            <c:idx val="1"/>
            <c:bubble3D val="0"/>
            <c:spPr>
              <a:solidFill>
                <a:srgbClr val="002060">
                  <a:alpha val="54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C-349E-4E9C-9900-C61999A96739}"/>
              </c:ext>
            </c:extLst>
          </c:dPt>
          <c:val>
            <c:numRef>
              <c:f>'TCD STATS ventes pro'!$AO$2:$AP$2</c:f>
              <c:numCache>
                <c:formatCode>0.00%</c:formatCode>
                <c:ptCount val="2"/>
                <c:pt idx="0">
                  <c:v>0.56234718826405872</c:v>
                </c:pt>
                <c:pt idx="1">
                  <c:v>0.43765281173594128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349E-4E9C-9900-C61999A96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hart" Target="../charts/chart3.xml"/><Relationship Id="rId18" Type="http://schemas.openxmlformats.org/officeDocument/2006/relationships/image" Target="../media/image15.emf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chart" Target="../charts/chart2.xml"/><Relationship Id="rId17" Type="http://schemas.openxmlformats.org/officeDocument/2006/relationships/image" Target="../media/image14.emf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1.xml"/><Relationship Id="rId5" Type="http://schemas.openxmlformats.org/officeDocument/2006/relationships/image" Target="../media/image5.svg"/><Relationship Id="rId15" Type="http://schemas.openxmlformats.org/officeDocument/2006/relationships/image" Target="../media/image12.png"/><Relationship Id="rId10" Type="http://schemas.openxmlformats.org/officeDocument/2006/relationships/image" Target="../media/image10.svg"/><Relationship Id="rId19" Type="http://schemas.openxmlformats.org/officeDocument/2006/relationships/image" Target="../media/image16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6</xdr:row>
      <xdr:rowOff>161925</xdr:rowOff>
    </xdr:from>
    <xdr:to>
      <xdr:col>7</xdr:col>
      <xdr:colOff>38100</xdr:colOff>
      <xdr:row>12</xdr:row>
      <xdr:rowOff>85725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172B14C6-4615-456A-920E-8E99DA20ACC9}"/>
            </a:ext>
          </a:extLst>
        </xdr:cNvPr>
        <xdr:cNvGrpSpPr/>
      </xdr:nvGrpSpPr>
      <xdr:grpSpPr>
        <a:xfrm>
          <a:off x="3000375" y="1304925"/>
          <a:ext cx="3762375" cy="1066800"/>
          <a:chOff x="2943225" y="1304925"/>
          <a:chExt cx="3667125" cy="1066800"/>
        </a:xfrm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2943225" y="1304925"/>
            <a:ext cx="3667125" cy="1066800"/>
          </a:xfrm>
          <a:prstGeom prst="roundRect">
            <a:avLst>
              <a:gd name="adj" fmla="val 10417"/>
            </a:avLst>
          </a:prstGeom>
          <a:solidFill>
            <a:srgbClr val="00206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i="0">
                <a:ln>
                  <a:solidFill>
                    <a:srgbClr val="E3ABCB"/>
                  </a:solidFill>
                </a:ln>
                <a:effectLst>
                  <a:glow rad="101600">
                    <a:srgbClr val="E3ABCB">
                      <a:alpha val="60000"/>
                    </a:srgbClr>
                  </a:glow>
                </a:effectLst>
                <a:latin typeface="Arial Black" panose="020B0A04020102020204" pitchFamily="34" charset="0"/>
              </a:rPr>
              <a:t>CA</a:t>
            </a:r>
            <a:r>
              <a:rPr lang="fr-FR" sz="1600" b="1" i="0" baseline="0">
                <a:ln>
                  <a:solidFill>
                    <a:srgbClr val="E3ABCB"/>
                  </a:solidFill>
                </a:ln>
                <a:effectLst>
                  <a:glow rad="101600">
                    <a:srgbClr val="E3ABCB">
                      <a:alpha val="60000"/>
                    </a:srgbClr>
                  </a:glow>
                </a:effectLst>
                <a:latin typeface="Arial Black" panose="020B0A04020102020204" pitchFamily="34" charset="0"/>
              </a:rPr>
              <a:t> PRO</a:t>
            </a:r>
            <a:endParaRPr lang="fr-FR" sz="1600" b="1" i="0">
              <a:ln>
                <a:solidFill>
                  <a:srgbClr val="E3ABCB"/>
                </a:solidFill>
              </a:ln>
              <a:effectLst>
                <a:glow rad="101600">
                  <a:srgbClr val="E3ABCB">
                    <a:alpha val="60000"/>
                  </a:srgbClr>
                </a:glow>
              </a:effectLst>
              <a:latin typeface="Arial Black" panose="020B0A04020102020204" pitchFamily="34" charset="0"/>
            </a:endParaRPr>
          </a:p>
        </xdr:txBody>
      </xdr:sp>
      <xdr:sp macro="" textlink="'TCD STATS ventes pro'!A4">
        <xdr:nvSpPr>
          <xdr:cNvPr id="3" name="ZoneText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3638551" y="1661433"/>
            <a:ext cx="2947306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E51F934-0891-47CB-90F7-349FA9EB9C15}" type="TxLink">
              <a:rPr lang="en-US" sz="3200" b="1" i="0" u="none" strike="noStrike">
                <a:solidFill>
                  <a:schemeClr val="bg1"/>
                </a:solidFill>
                <a:latin typeface="+mn-lt"/>
                <a:cs typeface="Calibri"/>
              </a:rPr>
              <a:pPr algn="r"/>
              <a:t>8 180,00 €</a:t>
            </a:fld>
            <a:endParaRPr lang="en-US" sz="41300" b="1">
              <a:solidFill>
                <a:schemeClr val="bg1"/>
              </a:solidFill>
              <a:latin typeface="+mn-lt"/>
            </a:endParaRPr>
          </a:p>
        </xdr:txBody>
      </xdr:sp>
      <xdr:pic>
        <xdr:nvPicPr>
          <xdr:cNvPr id="10" name="Graphique 9" descr="Pièces avec un remplissage uni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343275" y="1628775"/>
            <a:ext cx="657225" cy="65722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161925</xdr:colOff>
      <xdr:row>6</xdr:row>
      <xdr:rowOff>171450</xdr:rowOff>
    </xdr:from>
    <xdr:to>
      <xdr:col>12</xdr:col>
      <xdr:colOff>54429</xdr:colOff>
      <xdr:row>12</xdr:row>
      <xdr:rowOff>95250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3A8575B-A27B-4F6B-966E-ADF3A8EFFB0A}"/>
            </a:ext>
          </a:extLst>
        </xdr:cNvPr>
        <xdr:cNvGrpSpPr/>
      </xdr:nvGrpSpPr>
      <xdr:grpSpPr>
        <a:xfrm>
          <a:off x="6886575" y="1314450"/>
          <a:ext cx="3797754" cy="1066800"/>
          <a:chOff x="6734175" y="1314450"/>
          <a:chExt cx="3702504" cy="1066800"/>
        </a:xfrm>
      </xdr:grpSpPr>
      <xdr:sp macro="" textlink="">
        <xdr:nvSpPr>
          <xdr:cNvPr id="13" name="Rectangle : coins arrondi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6734175" y="1314450"/>
            <a:ext cx="3702504" cy="1066800"/>
          </a:xfrm>
          <a:prstGeom prst="roundRect">
            <a:avLst>
              <a:gd name="adj" fmla="val 10417"/>
            </a:avLst>
          </a:prstGeom>
          <a:solidFill>
            <a:srgbClr val="00206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i="0">
                <a:ln>
                  <a:solidFill>
                    <a:srgbClr val="E3ABCB"/>
                  </a:solidFill>
                </a:ln>
                <a:effectLst>
                  <a:glow rad="101600">
                    <a:srgbClr val="E3ABCB">
                      <a:alpha val="60000"/>
                    </a:srgbClr>
                  </a:glow>
                </a:effectLst>
                <a:latin typeface="Arial Black" panose="020B0A04020102020204" pitchFamily="34" charset="0"/>
              </a:rPr>
              <a:t>CA</a:t>
            </a:r>
            <a:r>
              <a:rPr lang="fr-FR" sz="1600" b="1" i="0" baseline="0">
                <a:ln>
                  <a:solidFill>
                    <a:srgbClr val="E3ABCB"/>
                  </a:solidFill>
                </a:ln>
                <a:effectLst>
                  <a:glow rad="101600">
                    <a:srgbClr val="E3ABCB">
                      <a:alpha val="60000"/>
                    </a:srgbClr>
                  </a:glow>
                </a:effectLst>
                <a:latin typeface="Arial Black" panose="020B0A04020102020204" pitchFamily="34" charset="0"/>
              </a:rPr>
              <a:t> BOUTIQUE</a:t>
            </a:r>
            <a:endParaRPr lang="fr-FR" sz="1600" b="1" i="0">
              <a:ln>
                <a:solidFill>
                  <a:srgbClr val="E3ABCB"/>
                </a:solidFill>
              </a:ln>
              <a:effectLst>
                <a:glow rad="101600">
                  <a:srgbClr val="E3ABCB">
                    <a:alpha val="60000"/>
                  </a:srgbClr>
                </a:glow>
              </a:effectLst>
              <a:latin typeface="Arial Black" panose="020B0A04020102020204" pitchFamily="34" charset="0"/>
            </a:endParaRPr>
          </a:p>
        </xdr:txBody>
      </xdr:sp>
      <xdr:pic>
        <xdr:nvPicPr>
          <xdr:cNvPr id="14" name="Graphique 13" descr="Pièces avec un remplissage uni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115175" y="1657350"/>
            <a:ext cx="657225" cy="657225"/>
          </a:xfrm>
          <a:prstGeom prst="rect">
            <a:avLst/>
          </a:prstGeom>
        </xdr:spPr>
      </xdr:pic>
      <xdr:sp macro="" textlink="'TCD boutique'!B4">
        <xdr:nvSpPr>
          <xdr:cNvPr id="15" name="ZoneTexte 2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>
            <a:off x="7646458" y="1606550"/>
            <a:ext cx="275272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fld id="{A2C768D1-2CB6-4505-8090-CE440E0900CA}" type="TxLink">
              <a:rPr lang="en-US" sz="32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r"/>
              <a:t>5 000,00 €</a:t>
            </a:fld>
            <a:endParaRPr lang="fr-FR" sz="199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141757</xdr:colOff>
      <xdr:row>13</xdr:row>
      <xdr:rowOff>15240</xdr:rowOff>
    </xdr:from>
    <xdr:to>
      <xdr:col>1</xdr:col>
      <xdr:colOff>1283124</xdr:colOff>
      <xdr:row>23</xdr:row>
      <xdr:rowOff>13607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Commercial">
              <a:extLst>
                <a:ext uri="{FF2B5EF4-FFF2-40B4-BE49-F238E27FC236}">
                  <a16:creationId xmlns:a16="http://schemas.microsoft.com/office/drawing/2014/main" id="{DDEC2DD5-18DF-47B3-B58D-11D8DDD66E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merci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57" y="2491740"/>
              <a:ext cx="2529296" cy="19033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 editAs="oneCell">
    <xdr:from>
      <xdr:col>13</xdr:col>
      <xdr:colOff>696381</xdr:colOff>
      <xdr:row>54</xdr:row>
      <xdr:rowOff>124883</xdr:rowOff>
    </xdr:from>
    <xdr:to>
      <xdr:col>14</xdr:col>
      <xdr:colOff>454091</xdr:colOff>
      <xdr:row>57</xdr:row>
      <xdr:rowOff>73093</xdr:rowOff>
    </xdr:to>
    <xdr:pic>
      <xdr:nvPicPr>
        <xdr:cNvPr id="40" name="Graphique 39" descr="Présentation avec graphique à barres avec un remplissage uni">
          <a:extLst>
            <a:ext uri="{FF2B5EF4-FFF2-40B4-BE49-F238E27FC236}">
              <a16:creationId xmlns:a16="http://schemas.microsoft.com/office/drawing/2014/main" id="{20B714ED-C64C-4251-9FD6-9C7EBCFC9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851214" y="10411883"/>
          <a:ext cx="515900" cy="515900"/>
        </a:xfrm>
        <a:prstGeom prst="rect">
          <a:avLst/>
        </a:prstGeom>
      </xdr:spPr>
    </xdr:pic>
    <xdr:clientData/>
  </xdr:twoCellAnchor>
  <xdr:twoCellAnchor>
    <xdr:from>
      <xdr:col>0</xdr:col>
      <xdr:colOff>759618</xdr:colOff>
      <xdr:row>60</xdr:row>
      <xdr:rowOff>140494</xdr:rowOff>
    </xdr:from>
    <xdr:to>
      <xdr:col>1</xdr:col>
      <xdr:colOff>416718</xdr:colOff>
      <xdr:row>64</xdr:row>
      <xdr:rowOff>178594</xdr:rowOff>
    </xdr:to>
    <xdr:sp macro="[0]!MettreAJourTCDs" textlink="">
      <xdr:nvSpPr>
        <xdr:cNvPr id="45" name="Ellipse 44">
          <a:extLst>
            <a:ext uri="{FF2B5EF4-FFF2-40B4-BE49-F238E27FC236}">
              <a16:creationId xmlns:a16="http://schemas.microsoft.com/office/drawing/2014/main" id="{94817481-ACFF-4ADD-844F-08DF8498B287}"/>
            </a:ext>
          </a:extLst>
        </xdr:cNvPr>
        <xdr:cNvSpPr/>
      </xdr:nvSpPr>
      <xdr:spPr>
        <a:xfrm>
          <a:off x="759618" y="11570494"/>
          <a:ext cx="1038225" cy="800100"/>
        </a:xfrm>
        <a:prstGeom prst="ellipse">
          <a:avLst/>
        </a:prstGeom>
        <a:solidFill>
          <a:srgbClr val="E3ABCB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M.A.J</a:t>
          </a:r>
        </a:p>
      </xdr:txBody>
    </xdr:sp>
    <xdr:clientData/>
  </xdr:twoCellAnchor>
  <xdr:twoCellAnchor>
    <xdr:from>
      <xdr:col>0</xdr:col>
      <xdr:colOff>108616</xdr:colOff>
      <xdr:row>0</xdr:row>
      <xdr:rowOff>0</xdr:rowOff>
    </xdr:from>
    <xdr:to>
      <xdr:col>1</xdr:col>
      <xdr:colOff>1309671</xdr:colOff>
      <xdr:row>10</xdr:row>
      <xdr:rowOff>40821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Région">
              <a:extLst>
                <a:ext uri="{FF2B5EF4-FFF2-40B4-BE49-F238E27FC236}">
                  <a16:creationId xmlns:a16="http://schemas.microsoft.com/office/drawing/2014/main" id="{255326ED-1D0E-4278-8B54-F24C30EF01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616" y="0"/>
              <a:ext cx="2588984" cy="19458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74082</xdr:colOff>
      <xdr:row>23</xdr:row>
      <xdr:rowOff>168278</xdr:rowOff>
    </xdr:from>
    <xdr:to>
      <xdr:col>1</xdr:col>
      <xdr:colOff>1280583</xdr:colOff>
      <xdr:row>40</xdr:row>
      <xdr:rowOff>31750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Mois pro">
              <a:extLst>
                <a:ext uri="{FF2B5EF4-FFF2-40B4-BE49-F238E27FC236}">
                  <a16:creationId xmlns:a16="http://schemas.microsoft.com/office/drawing/2014/main" id="{56E15381-7A30-4DEF-924E-FBFC0EDBD1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p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082" y="4549778"/>
              <a:ext cx="2587626" cy="31019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116417</xdr:colOff>
      <xdr:row>43</xdr:row>
      <xdr:rowOff>47627</xdr:rowOff>
    </xdr:from>
    <xdr:to>
      <xdr:col>1</xdr:col>
      <xdr:colOff>1270000</xdr:colOff>
      <xdr:row>59</xdr:row>
      <xdr:rowOff>148167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Mois boutique">
              <a:extLst>
                <a:ext uri="{FF2B5EF4-FFF2-40B4-BE49-F238E27FC236}">
                  <a16:creationId xmlns:a16="http://schemas.microsoft.com/office/drawing/2014/main" id="{F7CD61D6-5954-4445-A72C-A7944BF8F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boutiqu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417" y="8239127"/>
              <a:ext cx="2534708" cy="31485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114300</xdr:colOff>
      <xdr:row>0</xdr:row>
      <xdr:rowOff>148590</xdr:rowOff>
    </xdr:from>
    <xdr:to>
      <xdr:col>24</xdr:col>
      <xdr:colOff>492350</xdr:colOff>
      <xdr:row>73</xdr:row>
      <xdr:rowOff>42068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CACC8E3D-8FC4-451E-A133-557CBC7A2873}"/>
            </a:ext>
          </a:extLst>
        </xdr:cNvPr>
        <xdr:cNvGrpSpPr/>
      </xdr:nvGrpSpPr>
      <xdr:grpSpPr>
        <a:xfrm>
          <a:off x="2933700" y="148590"/>
          <a:ext cx="17751650" cy="13799978"/>
          <a:chOff x="2876550" y="133350"/>
          <a:chExt cx="17320644" cy="13824743"/>
        </a:xfrm>
      </xdr:grpSpPr>
      <xdr:sp macro="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2876550" y="133350"/>
            <a:ext cx="11363325" cy="1066800"/>
          </a:xfrm>
          <a:prstGeom prst="roundRect">
            <a:avLst>
              <a:gd name="adj" fmla="val 10417"/>
            </a:avLst>
          </a:prstGeom>
          <a:solidFill>
            <a:srgbClr val="00206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4400" b="1" i="0">
                <a:ln>
                  <a:solidFill>
                    <a:srgbClr val="E3ABCB"/>
                  </a:solidFill>
                </a:ln>
                <a:effectLst>
                  <a:glow rad="139700">
                    <a:srgbClr val="E3ABCB">
                      <a:alpha val="40000"/>
                    </a:srgbClr>
                  </a:glow>
                </a:effectLst>
                <a:latin typeface="Arial Black" panose="020B0A04020102020204" pitchFamily="34" charset="0"/>
              </a:rPr>
              <a:t>TABLEAU DE BORD DES VENTES</a:t>
            </a:r>
          </a:p>
        </xdr:txBody>
      </xdr:sp>
      <xdr:grpSp>
        <xdr:nvGrpSpPr>
          <xdr:cNvPr id="34" name="Groupe 33">
            <a:extLst>
              <a:ext uri="{FF2B5EF4-FFF2-40B4-BE49-F238E27FC236}">
                <a16:creationId xmlns:a16="http://schemas.microsoft.com/office/drawing/2014/main" id="{174574FA-3473-44CF-92E6-30E7996624FB}"/>
              </a:ext>
            </a:extLst>
          </xdr:cNvPr>
          <xdr:cNvGrpSpPr/>
        </xdr:nvGrpSpPr>
        <xdr:grpSpPr>
          <a:xfrm>
            <a:off x="2952749" y="1312333"/>
            <a:ext cx="11296650" cy="6155267"/>
            <a:chOff x="2952749" y="1312333"/>
            <a:chExt cx="11296650" cy="6155267"/>
          </a:xfrm>
        </xdr:grpSpPr>
        <xdr:sp macro="" textlink="">
          <xdr:nvSpPr>
            <xdr:cNvPr id="9" name="Rectangle : coins arrondis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/>
          </xdr:nvSpPr>
          <xdr:spPr>
            <a:xfrm>
              <a:off x="2952749" y="2457450"/>
              <a:ext cx="5619751" cy="5010150"/>
            </a:xfrm>
            <a:prstGeom prst="roundRect">
              <a:avLst>
                <a:gd name="adj" fmla="val 2813"/>
              </a:avLst>
            </a:prstGeom>
            <a:solidFill>
              <a:srgbClr val="002060"/>
            </a:solidFill>
            <a:ln>
              <a:solidFill>
                <a:srgbClr val="E3ABCB"/>
              </a:solidFill>
            </a:ln>
            <a:effectLst>
              <a:glow rad="177800">
                <a:schemeClr val="accent1"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600" b="1" i="0">
                  <a:ln>
                    <a:solidFill>
                      <a:srgbClr val="E3ABCB"/>
                    </a:solidFill>
                  </a:ln>
                  <a:effectLst>
                    <a:glow rad="139700">
                      <a:srgbClr val="E3ABCB">
                        <a:alpha val="40000"/>
                      </a:srgbClr>
                    </a:glow>
                  </a:effectLst>
                  <a:latin typeface="Arial Black" panose="020B0A04020102020204" pitchFamily="34" charset="0"/>
                </a:rPr>
                <a:t>ÉVOLUTION DU CA </a:t>
              </a:r>
              <a:r>
                <a:rPr lang="fr-FR" sz="1600" b="1" i="0" baseline="0">
                  <a:ln>
                    <a:solidFill>
                      <a:srgbClr val="E3ABCB"/>
                    </a:solidFill>
                  </a:ln>
                  <a:effectLst>
                    <a:glow rad="139700">
                      <a:srgbClr val="E3ABCB">
                        <a:alpha val="40000"/>
                      </a:srgbClr>
                    </a:glow>
                  </a:effectLst>
                  <a:latin typeface="Arial Black" panose="020B0A04020102020204" pitchFamily="34" charset="0"/>
                </a:rPr>
                <a:t>PRO</a:t>
              </a:r>
              <a:endParaRPr lang="fr-FR" sz="1600" b="1" i="0">
                <a:ln>
                  <a:solidFill>
                    <a:srgbClr val="E3ABCB"/>
                  </a:solidFill>
                </a:ln>
                <a:effectLst>
                  <a:glow rad="139700">
                    <a:srgbClr val="E3ABCB">
                      <a:alpha val="40000"/>
                    </a:srgbClr>
                  </a:glow>
                </a:effectLst>
                <a:latin typeface="Arial Black" panose="020B0A04020102020204" pitchFamily="34" charset="0"/>
              </a:endParaRPr>
            </a:p>
          </xdr:txBody>
        </xdr:sp>
        <xdr:grpSp>
          <xdr:nvGrpSpPr>
            <xdr:cNvPr id="33" name="Groupe 32">
              <a:extLst>
                <a:ext uri="{FF2B5EF4-FFF2-40B4-BE49-F238E27FC236}">
                  <a16:creationId xmlns:a16="http://schemas.microsoft.com/office/drawing/2014/main" id="{9A773D39-2D93-4C2A-ABAB-B9C1A8D3C5BF}"/>
                </a:ext>
              </a:extLst>
            </xdr:cNvPr>
            <xdr:cNvGrpSpPr/>
          </xdr:nvGrpSpPr>
          <xdr:grpSpPr>
            <a:xfrm>
              <a:off x="10531929" y="1312333"/>
              <a:ext cx="3717470" cy="1059392"/>
              <a:chOff x="10531929" y="1312333"/>
              <a:chExt cx="3717470" cy="1059392"/>
            </a:xfrm>
          </xdr:grpSpPr>
          <xdr:sp macro="" textlink="">
            <xdr:nvSpPr>
              <xdr:cNvPr id="7" name="Rectangle : coins arrondis 6">
                <a:extLst>
                  <a:ext uri="{FF2B5EF4-FFF2-40B4-BE49-F238E27FC236}">
                    <a16:creationId xmlns:a16="http://schemas.microsoft.com/office/drawing/2014/main" id="{00000000-0008-0000-0400-000007000000}"/>
                  </a:ext>
                </a:extLst>
              </xdr:cNvPr>
              <xdr:cNvSpPr/>
            </xdr:nvSpPr>
            <xdr:spPr>
              <a:xfrm>
                <a:off x="10531929" y="1312333"/>
                <a:ext cx="3717470" cy="1059392"/>
              </a:xfrm>
              <a:prstGeom prst="roundRect">
                <a:avLst>
                  <a:gd name="adj" fmla="val 10417"/>
                </a:avLst>
              </a:prstGeom>
              <a:solidFill>
                <a:srgbClr val="002060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1600" b="1" i="0">
                    <a:ln>
                      <a:solidFill>
                        <a:srgbClr val="E3ABCB"/>
                      </a:solidFill>
                    </a:ln>
                    <a:effectLst>
                      <a:glow rad="101600">
                        <a:srgbClr val="E3ABCB">
                          <a:alpha val="60000"/>
                        </a:srgbClr>
                      </a:glow>
                    </a:effectLst>
                    <a:latin typeface="Arial Black" panose="020B0A04020102020204" pitchFamily="34" charset="0"/>
                  </a:rPr>
                  <a:t>MEILLEURE</a:t>
                </a:r>
                <a:r>
                  <a:rPr lang="fr-FR" sz="1600" b="1" i="0" baseline="0">
                    <a:ln>
                      <a:solidFill>
                        <a:srgbClr val="E3ABCB"/>
                      </a:solidFill>
                    </a:ln>
                    <a:effectLst>
                      <a:glow rad="101600">
                        <a:srgbClr val="E3ABCB">
                          <a:alpha val="60000"/>
                        </a:srgbClr>
                      </a:glow>
                    </a:effectLst>
                    <a:latin typeface="Arial Black" panose="020B0A04020102020204" pitchFamily="34" charset="0"/>
                  </a:rPr>
                  <a:t> RÉGION</a:t>
                </a:r>
                <a:endParaRPr lang="fr-FR" sz="1600" b="1" i="0">
                  <a:ln>
                    <a:solidFill>
                      <a:srgbClr val="E3ABCB"/>
                    </a:solidFill>
                  </a:ln>
                  <a:effectLst>
                    <a:glow rad="101600">
                      <a:srgbClr val="E3ABCB">
                        <a:alpha val="60000"/>
                      </a:srgbClr>
                    </a:glow>
                  </a:effectLst>
                  <a:latin typeface="Arial Black" panose="020B0A04020102020204" pitchFamily="34" charset="0"/>
                </a:endParaRPr>
              </a:p>
            </xdr:txBody>
          </xdr:sp>
          <xdr:pic>
            <xdr:nvPicPr>
              <xdr:cNvPr id="19" name="Graphique 18" descr="Globe terrestre : Europe et Afrique avec un remplissage uni">
                <a:extLst>
                  <a:ext uri="{FF2B5EF4-FFF2-40B4-BE49-F238E27FC236}">
                    <a16:creationId xmlns:a16="http://schemas.microsoft.com/office/drawing/2014/main" id="{00000000-0008-0000-0400-00001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7"/>
                  </a:ext>
                </a:extLst>
              </a:blip>
              <a:stretch>
                <a:fillRect/>
              </a:stretch>
            </xdr:blipFill>
            <xdr:spPr>
              <a:xfrm>
                <a:off x="10601326" y="1657351"/>
                <a:ext cx="685800" cy="685800"/>
              </a:xfrm>
              <a:prstGeom prst="rect">
                <a:avLst/>
              </a:prstGeom>
            </xdr:spPr>
          </xdr:pic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38" name="Image 37">
                    <a:extLst>
                      <a:ext uri="{FF2B5EF4-FFF2-40B4-BE49-F238E27FC236}">
                        <a16:creationId xmlns:a16="http://schemas.microsoft.com/office/drawing/2014/main" id="{4F964908-9339-40A0-9632-7AF3084E09D3}"/>
                      </a:ext>
                    </a:extLst>
                  </xdr:cNvPr>
                  <xdr:cNvPicPr>
                    <a:picLocks noChangeAspect="1" noChangeArrowheads="1"/>
                    <a:extLst>
                      <a:ext uri="{84589F7E-364E-4C9E-8A38-B11213B215E9}">
                        <a14:cameraTool cellRange="'TCD STATS ventes pro'!$AD$2:$AE$2" spid="_x0000_s1993"/>
                      </a:ext>
                    </a:extLst>
                  </xdr:cNvPicPr>
                </xdr:nvPicPr>
                <xdr:blipFill>
                  <a:blip xmlns:r="http://schemas.openxmlformats.org/officeDocument/2006/relationships" r:embed="rId8"/>
                  <a:srcRect/>
                  <a:stretch>
                    <a:fillRect/>
                  </a:stretch>
                </xdr:blipFill>
                <xdr:spPr bwMode="auto">
                  <a:xfrm>
                    <a:off x="11334749" y="1793875"/>
                    <a:ext cx="2751667" cy="317500"/>
                  </a:xfrm>
                  <a:prstGeom prst="roundRect">
                    <a:avLst>
                      <a:gd name="adj" fmla="val 8594"/>
                    </a:avLst>
                  </a:prstGeom>
                  <a:gradFill>
                    <a:gsLst>
                      <a:gs pos="0">
                        <a:srgbClr val="E3ABCB"/>
                      </a:gs>
                      <a:gs pos="51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  <a:ln>
                    <a:noFill/>
                  </a:ln>
                  <a:effectLst>
                    <a:reflection blurRad="12700" stA="38000" endPos="28000" dist="5000" dir="5400000" sy="-100000" algn="bl" rotWithShape="0"/>
                  </a:effectLst>
                </xdr:spPr>
              </xdr:pic>
            </mc:Choice>
            <mc:Fallback xmlns=""/>
          </mc:AlternateContent>
        </xdr:grpSp>
        <xdr:pic>
          <xdr:nvPicPr>
            <xdr:cNvPr id="16" name="Graphique 15" descr="Graphique à barres avec un remplissage uni">
              <a:extLst>
                <a:ext uri="{FF2B5EF4-FFF2-40B4-BE49-F238E27FC236}">
                  <a16:creationId xmlns:a16="http://schemas.microsoft.com/office/drawing/2014/main" id="{95192FFA-6727-4038-BD75-2D7C6139E2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7672916" y="2413000"/>
              <a:ext cx="914400" cy="914400"/>
            </a:xfrm>
            <a:prstGeom prst="rect">
              <a:avLst/>
            </a:prstGeom>
          </xdr:spPr>
        </xdr:pic>
        <xdr:graphicFrame macro="">
          <xdr:nvGraphicFramePr>
            <xdr:cNvPr id="41" name="Graphique 40">
              <a:extLst>
                <a:ext uri="{FF2B5EF4-FFF2-40B4-BE49-F238E27FC236}">
                  <a16:creationId xmlns:a16="http://schemas.microsoft.com/office/drawing/2014/main" id="{6FA2849F-3A61-4E65-A18B-07B3C7DCB903}"/>
                </a:ext>
              </a:extLst>
            </xdr:cNvPr>
            <xdr:cNvGraphicFramePr>
              <a:graphicFrameLocks/>
            </xdr:cNvGraphicFramePr>
          </xdr:nvGraphicFramePr>
          <xdr:xfrm>
            <a:off x="2966357" y="3619500"/>
            <a:ext cx="5564187" cy="33385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</xdr:grpSp>
      <xdr:grpSp>
        <xdr:nvGrpSpPr>
          <xdr:cNvPr id="36" name="Groupe 35">
            <a:extLst>
              <a:ext uri="{FF2B5EF4-FFF2-40B4-BE49-F238E27FC236}">
                <a16:creationId xmlns:a16="http://schemas.microsoft.com/office/drawing/2014/main" id="{B0802793-9B25-4335-A891-60839D1508C5}"/>
              </a:ext>
            </a:extLst>
          </xdr:cNvPr>
          <xdr:cNvGrpSpPr/>
        </xdr:nvGrpSpPr>
        <xdr:grpSpPr>
          <a:xfrm>
            <a:off x="8650816" y="2417233"/>
            <a:ext cx="5619751" cy="5044017"/>
            <a:chOff x="8650816" y="2417233"/>
            <a:chExt cx="5619751" cy="5044017"/>
          </a:xfrm>
        </xdr:grpSpPr>
        <xdr:sp macro="" textlink="">
          <xdr:nvSpPr>
            <xdr:cNvPr id="27" name="Rectangle : coins arrondis 26">
              <a:extLst>
                <a:ext uri="{FF2B5EF4-FFF2-40B4-BE49-F238E27FC236}">
                  <a16:creationId xmlns:a16="http://schemas.microsoft.com/office/drawing/2014/main" id="{1DBC2146-9F05-4113-82DC-2193A299E3A4}"/>
                </a:ext>
              </a:extLst>
            </xdr:cNvPr>
            <xdr:cNvSpPr/>
          </xdr:nvSpPr>
          <xdr:spPr>
            <a:xfrm>
              <a:off x="8650816" y="2451100"/>
              <a:ext cx="5619751" cy="5010150"/>
            </a:xfrm>
            <a:prstGeom prst="roundRect">
              <a:avLst>
                <a:gd name="adj" fmla="val 2813"/>
              </a:avLst>
            </a:prstGeom>
            <a:solidFill>
              <a:srgbClr val="002060"/>
            </a:solidFill>
            <a:ln>
              <a:solidFill>
                <a:srgbClr val="E3ABCB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600" b="1" i="0">
                  <a:ln>
                    <a:solidFill>
                      <a:srgbClr val="E3ABCB"/>
                    </a:solidFill>
                  </a:ln>
                  <a:effectLst>
                    <a:glow rad="139700">
                      <a:srgbClr val="E3ABCB">
                        <a:alpha val="40000"/>
                      </a:srgbClr>
                    </a:glow>
                  </a:effectLst>
                  <a:latin typeface="Arial Black" panose="020B0A04020102020204" pitchFamily="34" charset="0"/>
                </a:rPr>
                <a:t>ÉVOLUTION DU CA </a:t>
              </a:r>
              <a:r>
                <a:rPr lang="fr-FR" sz="1600" b="1" i="0" baseline="0">
                  <a:ln>
                    <a:solidFill>
                      <a:srgbClr val="E3ABCB"/>
                    </a:solidFill>
                  </a:ln>
                  <a:effectLst>
                    <a:glow rad="139700">
                      <a:srgbClr val="E3ABCB">
                        <a:alpha val="40000"/>
                      </a:srgbClr>
                    </a:glow>
                  </a:effectLst>
                  <a:latin typeface="Arial Black" panose="020B0A04020102020204" pitchFamily="34" charset="0"/>
                </a:rPr>
                <a:t>BOUTIQUE</a:t>
              </a:r>
              <a:endParaRPr lang="fr-FR" sz="1600" b="1" i="0">
                <a:ln>
                  <a:solidFill>
                    <a:srgbClr val="E3ABCB"/>
                  </a:solidFill>
                </a:ln>
                <a:effectLst>
                  <a:glow rad="139700">
                    <a:srgbClr val="E3ABCB">
                      <a:alpha val="40000"/>
                    </a:srgbClr>
                  </a:glow>
                </a:effectLst>
                <a:latin typeface="Arial Black" panose="020B0A04020102020204" pitchFamily="34" charset="0"/>
              </a:endParaRPr>
            </a:p>
          </xdr:txBody>
        </xdr:sp>
        <xdr:pic>
          <xdr:nvPicPr>
            <xdr:cNvPr id="37" name="Graphique 36" descr="Graphique à barres avec un remplissage uni">
              <a:extLst>
                <a:ext uri="{FF2B5EF4-FFF2-40B4-BE49-F238E27FC236}">
                  <a16:creationId xmlns:a16="http://schemas.microsoft.com/office/drawing/2014/main" id="{B53D6128-9DE6-4410-AE6D-646713569D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3339233" y="2417233"/>
              <a:ext cx="914400" cy="914400"/>
            </a:xfrm>
            <a:prstGeom prst="rect">
              <a:avLst/>
            </a:prstGeom>
          </xdr:spPr>
        </xdr:pic>
        <xdr:graphicFrame macro="">
          <xdr:nvGraphicFramePr>
            <xdr:cNvPr id="43" name="Graphique 42">
              <a:extLst>
                <a:ext uri="{FF2B5EF4-FFF2-40B4-BE49-F238E27FC236}">
                  <a16:creationId xmlns:a16="http://schemas.microsoft.com/office/drawing/2014/main" id="{0816379C-73E6-407E-A586-74D8A0678C9C}"/>
                </a:ext>
              </a:extLst>
            </xdr:cNvPr>
            <xdr:cNvGraphicFramePr>
              <a:graphicFrameLocks/>
            </xdr:cNvGraphicFramePr>
          </xdr:nvGraphicFramePr>
          <xdr:xfrm>
            <a:off x="8753474" y="3629025"/>
            <a:ext cx="5064125" cy="3038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  <xdr:grpSp>
        <xdr:nvGrpSpPr>
          <xdr:cNvPr id="28" name="Groupe 27">
            <a:extLst>
              <a:ext uri="{FF2B5EF4-FFF2-40B4-BE49-F238E27FC236}">
                <a16:creationId xmlns:a16="http://schemas.microsoft.com/office/drawing/2014/main" id="{AC366CBF-3C56-42DF-A724-674F8518B6BD}"/>
              </a:ext>
            </a:extLst>
          </xdr:cNvPr>
          <xdr:cNvGrpSpPr/>
        </xdr:nvGrpSpPr>
        <xdr:grpSpPr>
          <a:xfrm>
            <a:off x="15092304" y="321468"/>
            <a:ext cx="4765661" cy="3155156"/>
            <a:chOff x="13413523" y="321468"/>
            <a:chExt cx="4765661" cy="3155156"/>
          </a:xfrm>
        </xdr:grpSpPr>
        <xdr:graphicFrame macro="">
          <xdr:nvGraphicFramePr>
            <xdr:cNvPr id="50" name="Graphique 49">
              <a:extLst>
                <a:ext uri="{FF2B5EF4-FFF2-40B4-BE49-F238E27FC236}">
                  <a16:creationId xmlns:a16="http://schemas.microsoft.com/office/drawing/2014/main" id="{65E2F0C0-675B-4F3F-B9B7-8BBD9081983A}"/>
                </a:ext>
              </a:extLst>
            </xdr:cNvPr>
            <xdr:cNvGraphicFramePr/>
          </xdr:nvGraphicFramePr>
          <xdr:xfrm>
            <a:off x="13413523" y="321468"/>
            <a:ext cx="4765661" cy="315515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grpSp>
          <xdr:nvGrpSpPr>
            <xdr:cNvPr id="26" name="Groupe 25">
              <a:extLst>
                <a:ext uri="{FF2B5EF4-FFF2-40B4-BE49-F238E27FC236}">
                  <a16:creationId xmlns:a16="http://schemas.microsoft.com/office/drawing/2014/main" id="{50328AB7-5FBC-47D4-8D5A-B99932A4FD66}"/>
                </a:ext>
              </a:extLst>
            </xdr:cNvPr>
            <xdr:cNvGrpSpPr/>
          </xdr:nvGrpSpPr>
          <xdr:grpSpPr>
            <a:xfrm>
              <a:off x="15073312" y="1166811"/>
              <a:ext cx="1440000" cy="1440000"/>
              <a:chOff x="15085218" y="1178718"/>
              <a:chExt cx="1440000" cy="1440000"/>
            </a:xfrm>
          </xdr:grpSpPr>
          <xdr:sp macro="" textlink="'TCD STATS ventes pro'!AO2">
            <xdr:nvSpPr>
              <xdr:cNvPr id="12" name="Organigramme : Connecteur 11">
                <a:extLst>
                  <a:ext uri="{FF2B5EF4-FFF2-40B4-BE49-F238E27FC236}">
                    <a16:creationId xmlns:a16="http://schemas.microsoft.com/office/drawing/2014/main" id="{9C6024D9-2E65-4937-8499-E674AE9ED416}"/>
                  </a:ext>
                </a:extLst>
              </xdr:cNvPr>
              <xdr:cNvSpPr/>
            </xdr:nvSpPr>
            <xdr:spPr>
              <a:xfrm>
                <a:off x="15085218" y="1178718"/>
                <a:ext cx="1440000" cy="1440000"/>
              </a:xfrm>
              <a:prstGeom prst="flowChartConnector">
                <a:avLst/>
              </a:prstGeom>
              <a:gradFill>
                <a:gsLst>
                  <a:gs pos="0">
                    <a:srgbClr val="002060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6766EA65-8BA9-40FD-A860-156003F94F2C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ea typeface="Calibri"/>
                    <a:cs typeface="Calibri"/>
                  </a:rPr>
                  <a:pPr algn="ctr"/>
                  <a:t>56,23%</a:t>
                </a:fld>
                <a:endParaRPr lang="fr-FR" sz="2000" b="1">
                  <a:solidFill>
                    <a:schemeClr val="bg1"/>
                  </a:solidFill>
                </a:endParaRPr>
              </a:p>
            </xdr:txBody>
          </xdr:sp>
          <xdr:sp macro="" textlink="'TCD STATS ventes pro'!AN2">
            <xdr:nvSpPr>
              <xdr:cNvPr id="18" name="ZoneTexte 17">
                <a:extLst>
                  <a:ext uri="{FF2B5EF4-FFF2-40B4-BE49-F238E27FC236}">
                    <a16:creationId xmlns:a16="http://schemas.microsoft.com/office/drawing/2014/main" id="{92CB21D8-37F9-40BB-B51C-4EA82D086001}"/>
                  </a:ext>
                </a:extLst>
              </xdr:cNvPr>
              <xdr:cNvSpPr txBox="1"/>
            </xdr:nvSpPr>
            <xdr:spPr>
              <a:xfrm>
                <a:off x="15311438" y="1297780"/>
                <a:ext cx="1023938" cy="51197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548F363A-AE09-4C35-B577-8145CEA01D84}" type="TxLink">
                  <a:rPr lang="en-US" sz="1100" b="1" i="0" u="none" strike="noStrike">
                    <a:ln>
                      <a:noFill/>
                    </a:ln>
                    <a:solidFill>
                      <a:schemeClr val="bg1"/>
                    </a:solidFill>
                    <a:latin typeface="Calibri"/>
                    <a:ea typeface="Calibri"/>
                    <a:cs typeface="Calibri"/>
                  </a:rPr>
                  <a:pPr/>
                  <a:t>Auvergne R.A</a:t>
                </a:fld>
                <a:endParaRPr lang="fr-FR" sz="1100" b="1">
                  <a:ln>
                    <a:noFill/>
                  </a:ln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21" name="ZoneTexte 20">
                <a:extLst>
                  <a:ext uri="{FF2B5EF4-FFF2-40B4-BE49-F238E27FC236}">
                    <a16:creationId xmlns:a16="http://schemas.microsoft.com/office/drawing/2014/main" id="{4DF97BEC-C113-4247-8188-4013E921301C}"/>
                  </a:ext>
                </a:extLst>
              </xdr:cNvPr>
              <xdr:cNvSpPr txBox="1"/>
            </xdr:nvSpPr>
            <xdr:spPr>
              <a:xfrm>
                <a:off x="15442406" y="2047875"/>
                <a:ext cx="857250" cy="4167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400" b="1">
                    <a:solidFill>
                      <a:schemeClr val="bg1"/>
                    </a:solidFill>
                  </a:rPr>
                  <a:t>DU CA</a:t>
                </a:r>
              </a:p>
            </xdr:txBody>
          </xdr:sp>
        </xdr:grpSp>
      </xdr:grp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997476BC-DCD3-4BA6-8D27-45EA772EA04F}"/>
              </a:ext>
            </a:extLst>
          </xdr:cNvPr>
          <xdr:cNvSpPr/>
        </xdr:nvSpPr>
        <xdr:spPr>
          <a:xfrm>
            <a:off x="14358937" y="1702593"/>
            <a:ext cx="1702594" cy="488156"/>
          </a:xfrm>
          <a:prstGeom prst="rightArrow">
            <a:avLst/>
          </a:prstGeom>
          <a:gradFill>
            <a:gsLst>
              <a:gs pos="0">
                <a:srgbClr val="002060"/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cap="rnd" cmpd="sng">
            <a:solidFill>
              <a:schemeClr val="accent1">
                <a:shade val="50000"/>
              </a:schemeClr>
            </a:solidFill>
            <a:prstDash val="solid"/>
            <a:round/>
          </a:ln>
          <a:effectLst>
            <a:glow rad="63500">
              <a:srgbClr val="002060">
                <a:alpha val="40000"/>
              </a:srgbClr>
            </a:glow>
            <a:outerShdw blurRad="50800" dist="50800" dir="5400000" algn="ctr" rotWithShape="0">
              <a:srgbClr val="002060">
                <a:alpha val="61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8" name="Groupe 47">
            <a:extLst>
              <a:ext uri="{FF2B5EF4-FFF2-40B4-BE49-F238E27FC236}">
                <a16:creationId xmlns:a16="http://schemas.microsoft.com/office/drawing/2014/main" id="{2C56B834-FC95-4224-8B21-F434F586644C}"/>
              </a:ext>
            </a:extLst>
          </xdr:cNvPr>
          <xdr:cNvGrpSpPr/>
        </xdr:nvGrpSpPr>
        <xdr:grpSpPr>
          <a:xfrm>
            <a:off x="2909622" y="7191640"/>
            <a:ext cx="17287572" cy="6766453"/>
            <a:chOff x="2945341" y="7203546"/>
            <a:chExt cx="17287572" cy="6766453"/>
          </a:xfrm>
        </xdr:grpSpPr>
        <xdr:sp macro="" textlink="">
          <xdr:nvSpPr>
            <xdr:cNvPr id="11" name="Rectangle : coins arrondis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/>
          </xdr:nvSpPr>
          <xdr:spPr>
            <a:xfrm>
              <a:off x="2945341" y="7570256"/>
              <a:ext cx="5637743" cy="6399743"/>
            </a:xfrm>
            <a:prstGeom prst="roundRect">
              <a:avLst>
                <a:gd name="adj" fmla="val 3404"/>
              </a:avLst>
            </a:prstGeom>
            <a:solidFill>
              <a:srgbClr val="002060"/>
            </a:solidFill>
            <a:ln>
              <a:solidFill>
                <a:srgbClr val="E3ABCB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800" b="1" i="0">
                  <a:ln>
                    <a:solidFill>
                      <a:srgbClr val="E3ABCB"/>
                    </a:solidFill>
                  </a:ln>
                  <a:effectLst>
                    <a:glow rad="101600">
                      <a:srgbClr val="E3ABCB">
                        <a:alpha val="60000"/>
                      </a:srgbClr>
                    </a:glow>
                  </a:effectLst>
                  <a:latin typeface="Arial Black" panose="020B0A04020102020204" pitchFamily="34" charset="0"/>
                </a:rPr>
                <a:t>TOP</a:t>
              </a:r>
              <a:r>
                <a:rPr lang="fr-FR" sz="1800" b="1" i="0" baseline="0">
                  <a:ln>
                    <a:solidFill>
                      <a:srgbClr val="E3ABCB"/>
                    </a:solidFill>
                  </a:ln>
                  <a:effectLst>
                    <a:glow rad="101600">
                      <a:srgbClr val="E3ABCB">
                        <a:alpha val="60000"/>
                      </a:srgbClr>
                    </a:glow>
                  </a:effectLst>
                  <a:latin typeface="Arial Black" panose="020B0A04020102020204" pitchFamily="34" charset="0"/>
                </a:rPr>
                <a:t> 5 DES CLIENTS</a:t>
              </a:r>
              <a:endParaRPr lang="fr-FR" sz="1800" b="1" i="0">
                <a:ln>
                  <a:solidFill>
                    <a:srgbClr val="E3ABCB"/>
                  </a:solidFill>
                </a:ln>
                <a:effectLst>
                  <a:glow rad="101600">
                    <a:srgbClr val="E3ABCB">
                      <a:alpha val="60000"/>
                    </a:srgbClr>
                  </a:glow>
                </a:effectLst>
                <a:latin typeface="Arial Black" panose="020B0A04020102020204" pitchFamily="34" charset="0"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5" name="Image 34">
                  <a:extLst>
                    <a:ext uri="{FF2B5EF4-FFF2-40B4-BE49-F238E27FC236}">
                      <a16:creationId xmlns:a16="http://schemas.microsoft.com/office/drawing/2014/main" id="{BB4A0217-BA8B-404D-9F03-265B1EE13EFA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'TCD STATS ventes pro'!$Q$1:$R$5" spid="_x0000_s1994"/>
                    </a:ext>
                  </a:extLst>
                </xdr:cNvPicPr>
              </xdr:nvPicPr>
              <xdr:blipFill>
                <a:blip xmlns:r="http://schemas.openxmlformats.org/officeDocument/2006/relationships" r:embed="rId14"/>
                <a:srcRect/>
                <a:stretch>
                  <a:fillRect/>
                </a:stretch>
              </xdr:blipFill>
              <xdr:spPr bwMode="auto">
                <a:xfrm>
                  <a:off x="3088343" y="8100397"/>
                  <a:ext cx="5251324" cy="1822624"/>
                </a:xfrm>
                <a:prstGeom prst="roundRect">
                  <a:avLst>
                    <a:gd name="adj" fmla="val 8594"/>
                  </a:avLst>
                </a:prstGeom>
                <a:gradFill>
                  <a:gsLst>
                    <a:gs pos="0">
                      <a:srgbClr val="E3ABCB"/>
                    </a:gs>
                    <a:gs pos="51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ln>
                  <a:noFill/>
                </a:ln>
                <a:effectLst>
                  <a:reflection blurRad="12700" stA="38000" endPos="28000" dist="5000" dir="5400000" sy="-100000" algn="bl" rotWithShape="0"/>
                </a:effectLst>
              </xdr:spPr>
            </xdr:pic>
          </mc:Choice>
          <mc:Fallback xmlns=""/>
        </mc:AlternateContent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40CA2E9D-EEE5-40F8-BEAF-B06BAEEE7076}"/>
                </a:ext>
              </a:extLst>
            </xdr:cNvPr>
            <xdr:cNvSpPr txBox="1"/>
          </xdr:nvSpPr>
          <xdr:spPr>
            <a:xfrm>
              <a:off x="3016251" y="10456332"/>
              <a:ext cx="5259916" cy="43391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fr-FR" sz="1800" b="1" i="0">
                  <a:ln>
                    <a:solidFill>
                      <a:srgbClr val="E3ABCB"/>
                    </a:solidFill>
                  </a:ln>
                  <a:solidFill>
                    <a:schemeClr val="bg1"/>
                  </a:solidFill>
                  <a:effectLst>
                    <a:glow rad="101600">
                      <a:srgbClr val="E3ABCB">
                        <a:alpha val="60000"/>
                      </a:srgbClr>
                    </a:glow>
                  </a:effectLst>
                  <a:latin typeface="Arial Black" panose="020B0A04020102020204" pitchFamily="34" charset="0"/>
                  <a:ea typeface="+mn-ea"/>
                  <a:cs typeface="+mn-cs"/>
                </a:rPr>
                <a:t>TOP 3</a:t>
              </a:r>
              <a:r>
                <a:rPr lang="fr-FR" sz="1800" b="1" i="0" baseline="0">
                  <a:ln>
                    <a:solidFill>
                      <a:srgbClr val="E3ABCB"/>
                    </a:solidFill>
                  </a:ln>
                  <a:solidFill>
                    <a:schemeClr val="bg1"/>
                  </a:solidFill>
                  <a:effectLst>
                    <a:glow rad="101600">
                      <a:srgbClr val="E3ABCB">
                        <a:alpha val="60000"/>
                      </a:srgbClr>
                    </a:glow>
                  </a:effectLst>
                  <a:latin typeface="Arial Black" panose="020B0A04020102020204" pitchFamily="34" charset="0"/>
                  <a:ea typeface="+mn-ea"/>
                  <a:cs typeface="+mn-cs"/>
                </a:rPr>
                <a:t> DES COMMERCIAUX</a:t>
              </a:r>
              <a:endParaRPr lang="fr-FR" sz="1800" b="1">
                <a:ln>
                  <a:solidFill>
                    <a:srgbClr val="E3ABCB"/>
                  </a:solidFill>
                </a:ln>
                <a:solidFill>
                  <a:schemeClr val="bg1"/>
                </a:solidFill>
                <a:effectLst>
                  <a:glow rad="101600">
                    <a:srgbClr val="E3ABCB">
                      <a:alpha val="60000"/>
                    </a:srgbClr>
                  </a:glow>
                </a:effectLst>
                <a:latin typeface="Arial Black" panose="020B0A04020102020204" pitchFamily="34" charset="0"/>
              </a:endParaRPr>
            </a:p>
            <a:p>
              <a:endParaRPr lang="fr-FR" sz="1100">
                <a:solidFill>
                  <a:schemeClr val="bg1"/>
                </a:solidFill>
                <a:latin typeface="Arial Black" panose="020B0A04020102020204" pitchFamily="34" charset="0"/>
              </a:endParaRPr>
            </a:p>
          </xdr:txBody>
        </xdr:sp>
        <xdr:pic>
          <xdr:nvPicPr>
            <xdr:cNvPr id="20" name="Graphique 19" descr="Présentation avec graphique à barres avec un remplissage uni">
              <a:extLst>
                <a:ext uri="{FF2B5EF4-FFF2-40B4-BE49-F238E27FC236}">
                  <a16:creationId xmlns:a16="http://schemas.microsoft.com/office/drawing/2014/main" id="{2DC8454F-7FAC-46A5-87AC-B135F874273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7778749" y="7567083"/>
              <a:ext cx="515900" cy="515900"/>
            </a:xfrm>
            <a:prstGeom prst="rect">
              <a:avLst/>
            </a:prstGeom>
          </xdr:spPr>
        </xdr:pic>
        <xdr:pic>
          <xdr:nvPicPr>
            <xdr:cNvPr id="25" name="Graphique 24" descr="Salle de conseil avec un remplissage uni">
              <a:extLst>
                <a:ext uri="{FF2B5EF4-FFF2-40B4-BE49-F238E27FC236}">
                  <a16:creationId xmlns:a16="http://schemas.microsoft.com/office/drawing/2014/main" id="{03777744-D7AF-46EA-8D2B-5A6994F8784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7746997" y="10392833"/>
              <a:ext cx="583070" cy="583070"/>
            </a:xfrm>
            <a:prstGeom prst="rect">
              <a:avLst/>
            </a:prstGeom>
          </xdr:spPr>
        </xdr:pic>
        <xdr:grpSp>
          <xdr:nvGrpSpPr>
            <xdr:cNvPr id="47" name="Groupe 46">
              <a:extLst>
                <a:ext uri="{FF2B5EF4-FFF2-40B4-BE49-F238E27FC236}">
                  <a16:creationId xmlns:a16="http://schemas.microsoft.com/office/drawing/2014/main" id="{B980F235-DDAE-4BBD-B68F-2AACF7922A29}"/>
                </a:ext>
              </a:extLst>
            </xdr:cNvPr>
            <xdr:cNvGrpSpPr/>
          </xdr:nvGrpSpPr>
          <xdr:grpSpPr>
            <a:xfrm>
              <a:off x="8669488" y="7203546"/>
              <a:ext cx="11563425" cy="6757194"/>
              <a:chOff x="4990457" y="7644077"/>
              <a:chExt cx="11563425" cy="6757194"/>
            </a:xfrm>
          </xdr:grpSpPr>
          <xdr:grpSp>
            <xdr:nvGrpSpPr>
              <xdr:cNvPr id="42" name="Groupe 41">
                <a:extLst>
                  <a:ext uri="{FF2B5EF4-FFF2-40B4-BE49-F238E27FC236}">
                    <a16:creationId xmlns:a16="http://schemas.microsoft.com/office/drawing/2014/main" id="{144274F0-2234-4DC1-B606-5CCCBB46F92A}"/>
                  </a:ext>
                </a:extLst>
              </xdr:cNvPr>
              <xdr:cNvGrpSpPr/>
            </xdr:nvGrpSpPr>
            <xdr:grpSpPr>
              <a:xfrm>
                <a:off x="4990457" y="7644077"/>
                <a:ext cx="11563425" cy="6757194"/>
                <a:chOff x="2228207" y="7560733"/>
                <a:chExt cx="11563425" cy="6757194"/>
              </a:xfrm>
            </xdr:grpSpPr>
            <xdr:sp macro="" textlink="">
              <xdr:nvSpPr>
                <xdr:cNvPr id="17" name="Rectangle : coins arrondis 16">
                  <a:extLst>
                    <a:ext uri="{FF2B5EF4-FFF2-40B4-BE49-F238E27FC236}">
                      <a16:creationId xmlns:a16="http://schemas.microsoft.com/office/drawing/2014/main" id="{A87A0FA0-9208-4FE0-B6F3-46A73A16F901}"/>
                    </a:ext>
                  </a:extLst>
                </xdr:cNvPr>
                <xdr:cNvSpPr/>
              </xdr:nvSpPr>
              <xdr:spPr>
                <a:xfrm>
                  <a:off x="2228207" y="7930582"/>
                  <a:ext cx="5652407" cy="6387345"/>
                </a:xfrm>
                <a:prstGeom prst="roundRect">
                  <a:avLst>
                    <a:gd name="adj" fmla="val 3363"/>
                  </a:avLst>
                </a:prstGeom>
                <a:solidFill>
                  <a:srgbClr val="002060"/>
                </a:solidFill>
                <a:ln>
                  <a:solidFill>
                    <a:srgbClr val="E3ABCB"/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600" b="1" i="0">
                    <a:latin typeface="Arial Black" panose="020B0A04020102020204" pitchFamily="34" charset="0"/>
                  </a:endParaRPr>
                </a:p>
              </xdr:txBody>
            </xdr:sp>
            <xdr:pic>
              <xdr:nvPicPr>
                <xdr:cNvPr id="39" name="Graphique 38" descr="Présentation avec graphique à barres avec un remplissage uni">
                  <a:extLst>
                    <a:ext uri="{FF2B5EF4-FFF2-40B4-BE49-F238E27FC236}">
                      <a16:creationId xmlns:a16="http://schemas.microsoft.com/office/drawing/2014/main" id="{AE29A173-D0A6-40CF-9679-E790C954C4E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5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3275732" y="7560733"/>
                  <a:ext cx="515900" cy="515900"/>
                </a:xfrm>
                <a:prstGeom prst="rect">
                  <a:avLst/>
                </a:prstGeom>
              </xdr:spPr>
            </xdr:pic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54" name="Image 53">
                      <a:extLst>
                        <a:ext uri="{FF2B5EF4-FFF2-40B4-BE49-F238E27FC236}">
                          <a16:creationId xmlns:a16="http://schemas.microsoft.com/office/drawing/2014/main" id="{7B0A6621-DFF0-447F-823B-9CB3AF88CA20}"/>
                        </a:ext>
                      </a:extLst>
                    </xdr:cNvPr>
                    <xdr:cNvPicPr>
                      <a:picLocks noChangeAspect="1" noChangeArrowheads="1"/>
                      <a:extLst>
                        <a:ext uri="{84589F7E-364E-4C9E-8A38-B11213B215E9}">
                          <a14:cameraTool cellRange="'TCD STATS ventes pro'!$W$3:$Y$8" spid="_x0000_s1995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17"/>
                    <a:srcRect/>
                    <a:stretch>
                      <a:fillRect/>
                    </a:stretch>
                  </xdr:blipFill>
                  <xdr:spPr bwMode="auto">
                    <a:xfrm>
                      <a:off x="2566988" y="8439150"/>
                      <a:ext cx="4895850" cy="1892645"/>
                    </a:xfrm>
                    <a:prstGeom prst="roundRect">
                      <a:avLst>
                        <a:gd name="adj" fmla="val 8594"/>
                      </a:avLst>
                    </a:prstGeom>
                    <a:gradFill>
                      <a:gsLst>
                        <a:gs pos="0">
                          <a:srgbClr val="E3ABCB"/>
                        </a:gs>
                        <a:gs pos="51000">
                          <a:schemeClr val="accent1">
                            <a:lumMod val="45000"/>
                            <a:lumOff val="55000"/>
                          </a:schemeClr>
                        </a:gs>
                        <a:gs pos="83000">
                          <a:schemeClr val="accent1">
                            <a:lumMod val="45000"/>
                            <a:lumOff val="55000"/>
                          </a:schemeClr>
                        </a:gs>
                        <a:gs pos="100000">
                          <a:schemeClr val="accent1">
                            <a:lumMod val="30000"/>
                            <a:lumOff val="70000"/>
                          </a:schemeClr>
                        </a:gs>
                      </a:gsLst>
                      <a:lin ang="5400000" scaled="1"/>
                    </a:gradFill>
                    <a:ln>
                      <a:noFill/>
                    </a:ln>
                    <a:effectLst>
                      <a:reflection blurRad="12700" stA="38000" endPos="28000" dist="5000" dir="5400000" sy="-100000" algn="bl" rotWithShape="0"/>
                    </a:effectLst>
                  </xdr:spPr>
                </xdr:pic>
              </mc:Choice>
              <mc:Fallback xmlns=""/>
            </mc:AlternateContent>
          </xdr:grpSp>
          <xdr:sp macro="" textlink="">
            <xdr:nvSpPr>
              <xdr:cNvPr id="29" name="ZoneTexte 28">
                <a:extLst>
                  <a:ext uri="{FF2B5EF4-FFF2-40B4-BE49-F238E27FC236}">
                    <a16:creationId xmlns:a16="http://schemas.microsoft.com/office/drawing/2014/main" id="{8E8ABCED-5B26-4723-9277-B68484FAFF5A}"/>
                  </a:ext>
                </a:extLst>
              </xdr:cNvPr>
              <xdr:cNvSpPr txBox="1"/>
            </xdr:nvSpPr>
            <xdr:spPr>
              <a:xfrm>
                <a:off x="5293174" y="8076063"/>
                <a:ext cx="5259916" cy="43391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1800" b="1" i="0">
                    <a:ln>
                      <a:solidFill>
                        <a:srgbClr val="E3ABCB"/>
                      </a:solidFill>
                    </a:ln>
                    <a:solidFill>
                      <a:schemeClr val="bg1"/>
                    </a:solidFill>
                    <a:effectLst>
                      <a:glow rad="101600">
                        <a:srgbClr val="E3ABCB">
                          <a:alpha val="60000"/>
                        </a:srgbClr>
                      </a:glow>
                    </a:effectLst>
                    <a:latin typeface="Arial Black" panose="020B0A04020102020204" pitchFamily="34" charset="0"/>
                    <a:ea typeface="+mn-ea"/>
                    <a:cs typeface="+mn-cs"/>
                  </a:rPr>
                  <a:t>TOP 5 PARFUM</a:t>
                </a:r>
                <a:endParaRPr lang="fr-FR" sz="1800" b="1">
                  <a:ln>
                    <a:solidFill>
                      <a:srgbClr val="E3ABCB"/>
                    </a:solidFill>
                  </a:ln>
                  <a:solidFill>
                    <a:schemeClr val="bg1"/>
                  </a:solidFill>
                  <a:effectLst>
                    <a:glow rad="101600">
                      <a:srgbClr val="E3ABCB">
                        <a:alpha val="60000"/>
                      </a:srgbClr>
                    </a:glow>
                  </a:effectLst>
                  <a:latin typeface="Arial Black" panose="020B0A04020102020204" pitchFamily="34" charset="0"/>
                </a:endParaRPr>
              </a:p>
              <a:p>
                <a:endParaRPr lang="fr-FR" sz="1100">
                  <a:solidFill>
                    <a:schemeClr val="bg1"/>
                  </a:solidFill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31" name="ZoneTexte 30">
                <a:extLst>
                  <a:ext uri="{FF2B5EF4-FFF2-40B4-BE49-F238E27FC236}">
                    <a16:creationId xmlns:a16="http://schemas.microsoft.com/office/drawing/2014/main" id="{05E3850A-C18D-4E3D-A110-81C86BF4B58C}"/>
                  </a:ext>
                </a:extLst>
              </xdr:cNvPr>
              <xdr:cNvSpPr txBox="1"/>
            </xdr:nvSpPr>
            <xdr:spPr>
              <a:xfrm>
                <a:off x="5361965" y="10794657"/>
                <a:ext cx="5259916" cy="43391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1800" b="1" i="0">
                    <a:ln>
                      <a:solidFill>
                        <a:srgbClr val="E3ABCB"/>
                      </a:solidFill>
                    </a:ln>
                    <a:solidFill>
                      <a:schemeClr val="bg1"/>
                    </a:solidFill>
                    <a:effectLst>
                      <a:glow rad="101600">
                        <a:srgbClr val="E3ABCB">
                          <a:alpha val="60000"/>
                        </a:srgbClr>
                      </a:glow>
                    </a:effectLst>
                    <a:latin typeface="Arial Black" panose="020B0A04020102020204" pitchFamily="34" charset="0"/>
                    <a:ea typeface="+mn-ea"/>
                    <a:cs typeface="+mn-cs"/>
                  </a:rPr>
                  <a:t>TOP 5 FORMAT</a:t>
                </a:r>
                <a:endParaRPr lang="fr-FR" sz="1800" b="1">
                  <a:ln>
                    <a:solidFill>
                      <a:srgbClr val="E3ABCB"/>
                    </a:solidFill>
                  </a:ln>
                  <a:solidFill>
                    <a:schemeClr val="bg1"/>
                  </a:solidFill>
                  <a:effectLst>
                    <a:glow rad="101600">
                      <a:srgbClr val="E3ABCB">
                        <a:alpha val="60000"/>
                      </a:srgbClr>
                    </a:glow>
                  </a:effectLst>
                  <a:latin typeface="Arial Black" panose="020B0A04020102020204" pitchFamily="34" charset="0"/>
                </a:endParaRPr>
              </a:p>
              <a:p>
                <a:endParaRPr lang="fr-FR" sz="1100">
                  <a:solidFill>
                    <a:schemeClr val="bg1"/>
                  </a:solidFill>
                  <a:latin typeface="Arial Black" panose="020B0A04020102020204" pitchFamily="34" charset="0"/>
                </a:endParaRPr>
              </a:p>
            </xdr:txBody>
          </xdr:sp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396240</xdr:colOff>
          <xdr:row>57</xdr:row>
          <xdr:rowOff>137160</xdr:rowOff>
        </xdr:from>
        <xdr:to>
          <xdr:col>7</xdr:col>
          <xdr:colOff>716280</xdr:colOff>
          <xdr:row>65</xdr:row>
          <xdr:rowOff>63534</xdr:rowOff>
        </xdr:to>
        <xdr:pic>
          <xdr:nvPicPr>
            <xdr:cNvPr id="53" name="Image 52">
              <a:extLst>
                <a:ext uri="{FF2B5EF4-FFF2-40B4-BE49-F238E27FC236}">
                  <a16:creationId xmlns:a16="http://schemas.microsoft.com/office/drawing/2014/main" id="{1D00D038-9AE9-4075-8327-70CB06404DF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TCD STATS ventes pro'!$L$1:$M$3" spid="_x0000_s199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3230880" y="10561320"/>
              <a:ext cx="4282440" cy="1389414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57</xdr:row>
          <xdr:rowOff>121920</xdr:rowOff>
        </xdr:from>
        <xdr:to>
          <xdr:col>16</xdr:col>
          <xdr:colOff>517404</xdr:colOff>
          <xdr:row>65</xdr:row>
          <xdr:rowOff>76200</xdr:rowOff>
        </xdr:to>
        <xdr:pic>
          <xdr:nvPicPr>
            <xdr:cNvPr id="57" name="Image 56">
              <a:extLst>
                <a:ext uri="{FF2B5EF4-FFF2-40B4-BE49-F238E27FC236}">
                  <a16:creationId xmlns:a16="http://schemas.microsoft.com/office/drawing/2014/main" id="{7371F527-38D0-4842-B82A-C80D61CDB68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TCD STATS ventes pro'!$AJ$3:$AL$7" spid="_x0000_s199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9281160" y="10546080"/>
              <a:ext cx="5165604" cy="1417320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romeSaveurs" refreshedDate="45686.771874421298" createdVersion="7" refreshedVersion="7" minRefreshableVersion="3" recordCount="6" xr:uid="{BF4B63F7-A6B9-4560-88EA-6C48C7E139BC}">
  <cacheSource type="worksheet">
    <worksheetSource name="Tableau2"/>
  </cacheSource>
  <cacheFields count="3">
    <cacheField name="mois" numFmtId="17">
      <sharedItems containsSemiMixedTypes="0" containsNonDate="0" containsDate="1" containsString="0" minDate="2024-07-01T00:00:00" maxDate="2024-12-02T00:00:00" count="6">
        <d v="2024-07-01T00:00:00"/>
        <d v="2024-08-01T00:00:00"/>
        <d v="2024-09-01T00:00:00"/>
        <d v="2024-10-01T00:00:00"/>
        <d v="2024-11-01T00:00:00"/>
        <d v="2024-12-01T00:00:00"/>
      </sharedItems>
      <fieldGroup par="2" base="0">
        <rangePr groupBy="days" startDate="2024-07-01T00:00:00" endDate="2024-12-02T00:00:00"/>
        <groupItems count="368">
          <s v="&lt;01/07/2024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2/12/2024"/>
        </groupItems>
      </fieldGroup>
    </cacheField>
    <cacheField name="somme" numFmtId="164">
      <sharedItems containsSemiMixedTypes="0" containsString="0" containsNumber="1" containsInteger="1" minValue="200" maxValue="3000"/>
    </cacheField>
    <cacheField name="Mois2" numFmtId="0" databaseField="0">
      <fieldGroup base="0">
        <rangePr groupBy="months" startDate="2024-07-01T00:00:00" endDate="2024-12-02T00:00:00"/>
        <groupItems count="14">
          <s v="&lt;01/07/2024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2/12/2024"/>
        </groupItems>
      </fieldGroup>
    </cacheField>
  </cacheFields>
  <extLst>
    <ext xmlns:x14="http://schemas.microsoft.com/office/spreadsheetml/2009/9/main" uri="{725AE2AE-9491-48be-B2B4-4EB974FC3084}">
      <x14:pivotCacheDefinition pivotCacheId="14464836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romeSaveurs" refreshedDate="46110.749249768516" createdVersion="7" refreshedVersion="7" minRefreshableVersion="3" recordCount="19" xr:uid="{8E26873F-32C7-4027-A861-920B334F2473}">
  <cacheSource type="worksheet">
    <worksheetSource name="Tableau1"/>
  </cacheSource>
  <cacheFields count="10">
    <cacheField name="Entreprise" numFmtId="0">
      <sharedItems count="66">
        <s v="client1"/>
        <s v="client2"/>
        <s v="client3"/>
        <s v="client4"/>
        <s v="client5"/>
        <s v="LE 115" u="1"/>
        <s v="Domaine l'Escalin" u="1"/>
        <s v="MALICE SHOP - Lycée Marie Rivier" u="1"/>
        <s v="Café de la Gare" u="1"/>
        <s v="LES SOURCES DE DIEULEFIT " u="1"/>
        <s v="AUTAJON SP" u="1"/>
        <s v="SIBILLE outillage" u="1"/>
        <s v="Métro France - GLN 3025570006402" u="1"/>
        <s v="Le XV Café" u="1"/>
        <s v="PIZZERIA BELLA CIAO" u="1"/>
        <s v="LECLERC APT" u="1"/>
        <s v="UMS RUGBY" u="1"/>
        <s v="ENTREPOT 23 " u="1"/>
        <s v="LECLERC SAULCE SUR RHONE" u="1"/>
        <s v="MENUISERIE BAUDECHE" u="1"/>
        <s v="INTERMARCHE Montélimar" u="1"/>
        <s v="BRASSERIE ST CLAIR" u="1"/>
        <s v="GIE INTER NOUGAT" u="1"/>
        <s v="LECLERC HYERES" u="1"/>
        <s v="Toutengros " u="1"/>
        <s v="LA BARAQUE A BURGER" u="1"/>
        <s v="LA GRAVILLE TOURISME Camping" u="1"/>
        <s v="PROMOCASH" u="1"/>
        <s v="LECLERC BOLLENE" u="1"/>
        <s v="LECLERC BRIGNOLES" u="1"/>
        <s v="FREYCINET SAS" u="1"/>
        <s v="ALUNA Festival" u="1"/>
        <s v="SUPER U Saint Sorlin en Valloire" u="1"/>
        <s v="Carrefour Montélimar" u="1"/>
        <s v="SUPER U EXPRESS CHATEAUNEUF DU RHONE" u="1"/>
        <s v="Domaine du Colombier" u="1"/>
        <s v="V&amp;B MONTELIMAR" u="1"/>
        <s v="Restaurant Margot Mirmande Drôme" u="1"/>
        <s v="Glaces Maboul'" u="1"/>
        <s v="Reseau entreprendre Drome Ardeche" u="1"/>
        <s v="ASSOC. MOCYCLISTE DE PONT DE VAUX" u="1"/>
        <s v="LECLERC CARPENTRAS" u="1"/>
        <s v="APM Allan pierre et mémoire" u="1"/>
        <s v="L'HORLOGE GOURMANDE" u="1"/>
        <s v="VIGNOBLES ESCALIN" u="1"/>
        <s v="LA BOUTIK DU COIN" u="1"/>
        <s v="Montélimar social club" u="1"/>
        <s v="WEBTEX" u="1"/>
        <s v="Aux Fleurs des Thés" u="1"/>
        <s v="Carrefour Market Montélimar" u="1"/>
        <s v="Laiterie Gilbert Montélimar" u="1"/>
        <s v="PIZZERIA  le Vintage Cléon d'Andran" u="1"/>
        <s v="WURTZ Montélimar" u="1"/>
        <s v="MDP COMMERCE" u="1"/>
        <s v="JW IMMOBILIER" u="1"/>
        <s v="Présence photographie" u="1"/>
        <s v="client" u="1"/>
        <s v="SUPER U  Donzère" u="1"/>
        <s v="Chabert et Guillot" u="1"/>
        <s v="LE N7" u="1"/>
        <s v="E.Leclerc Marseille" u="1"/>
        <s v="TEXTISS" u="1"/>
        <s v="Oxygène Parc Aventure" u="1"/>
        <s v="JM traiteur" u="1"/>
        <s v="LECLERC Montélimar" u="1"/>
        <s v="Amazon Montélimar" u="1"/>
      </sharedItems>
    </cacheField>
    <cacheField name="Région" numFmtId="0">
      <sharedItems count="4">
        <s v="Auvergne R.A"/>
        <s v="P.A.C.A"/>
        <s v="Occitanie"/>
        <s v="Vaucluse" u="1"/>
      </sharedItems>
    </cacheField>
    <cacheField name="Commercial" numFmtId="0">
      <sharedItems count="6">
        <s v="Commercial A"/>
        <s v="Commercial B"/>
        <s v="Commercial C"/>
        <s v="Commercial D"/>
        <s v="Commercial E"/>
        <s v="Brice" u="1"/>
      </sharedItems>
    </cacheField>
    <cacheField name="Date" numFmtId="14">
      <sharedItems containsSemiMixedTypes="0" containsNonDate="0" containsDate="1" containsString="0" minDate="2024-01-09T00:00:00" maxDate="2024-12-27T00:00:00" count="19">
        <d v="2024-01-09T00:00:00"/>
        <d v="2024-02-09T00:00:00"/>
        <d v="2024-05-10T00:00:00"/>
        <d v="2024-05-11T00:00:00"/>
        <d v="2024-05-12T00:00:00"/>
        <d v="2024-07-13T00:00:00"/>
        <d v="2024-07-14T00:00:00"/>
        <d v="2024-07-15T00:00:00"/>
        <d v="2024-07-16T00:00:00"/>
        <d v="2024-07-17T00:00:00"/>
        <d v="2024-08-18T00:00:00"/>
        <d v="2024-08-19T00:00:00"/>
        <d v="2024-08-20T00:00:00"/>
        <d v="2024-08-21T00:00:00"/>
        <d v="2024-08-22T00:00:00"/>
        <d v="2024-09-23T00:00:00"/>
        <d v="2024-09-24T00:00:00"/>
        <d v="2024-12-25T00:00:00"/>
        <d v="2024-12-26T00:00:00"/>
      </sharedItems>
      <fieldGroup par="9" base="3">
        <rangePr groupBy="days" startDate="2024-01-09T00:00:00" endDate="2024-12-27T00:00:00"/>
        <groupItems count="368">
          <s v="&lt;09/01/2024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7/12/2024"/>
        </groupItems>
      </fieldGroup>
    </cacheField>
    <cacheField name="Parfum" numFmtId="0">
      <sharedItems containsBlank="1" count="57">
        <s v="chocolat au lait"/>
        <s v="vanille"/>
        <s v="citron"/>
        <s v="caramel"/>
        <s v="yaourt"/>
        <s v="mangue"/>
        <s v="" u="1"/>
        <m u="1"/>
        <s v="nougat glacé " u="1"/>
        <s v="Mangue/ fruits rouges " u="1"/>
        <s v="Chocolat au lait/ marron " u="1"/>
        <s v="Rhum raisin " u="1"/>
        <s v="fraise " u="1"/>
        <s v="Pastis Henri Bardouin " u="1"/>
        <s v="Pistache " u="1"/>
        <s v="Citron " u="1"/>
        <s v="Marron d'Ardèche " u="1"/>
        <s v="Marrons d'Ardèche " u="1"/>
        <s v="Mojito " u="1"/>
        <s v="pots pour Aluna " u="1"/>
        <s v="variété de pots pour Aluna " u="1"/>
        <s v="Chocolat au lait " u="1"/>
        <s v="Nougat sirop abricot " u="1"/>
        <s v="Marrons " u="1"/>
        <s v="Coco chocolat " u="1"/>
        <s v="Chocolat noir/ noisette sans sucre ajouté " u="1"/>
        <s v="Limoncello " u="1"/>
        <s v="Pain d'épices étoile " u="1"/>
        <s v="Poire " u="1"/>
        <s v="Vanille " u="1"/>
        <s v="Chocolat noir sans sucre ajouté " u="1"/>
        <s v="nougat glacé chocolat orange " u="1"/>
        <s v="Nougat/ chocolat/ orange " u="1"/>
        <s v=" Marrons d'Ardèche " u="1"/>
        <s v="Noix de coco " u="1"/>
        <s v="Noisette sans sucre ajouté " u="1"/>
        <s v="Mangue " u="1"/>
        <s v="Stracciatella " u="1"/>
        <s v="melon " u="1"/>
        <s v="Calisson Le Roy René " u="1"/>
        <s v="Nougat de Montélimar " u="1"/>
        <s v="Café " u="1"/>
        <s v="Piña colada " u="1"/>
        <s v="Nougat sorbet cassis " u="1"/>
        <s v="Pêche blanche " u="1"/>
        <s v="Nougat sirop cassis " u="1"/>
        <s v="calamansi/verveine " u="1"/>
        <s v="Framboise " u="1"/>
        <s v="Chocolat noisette " u="1"/>
        <s v="Caramel beurre salé " u="1"/>
        <s v="Pain d'épices bûche " u="1"/>
        <s v="Pamplemousse rose " u="1"/>
        <s v="Vanille/ caramel beurre salé " u="1"/>
        <s v="Marrons d'Ardèche" u="1"/>
        <s v="Mangue sans sucre ajouté " u="1"/>
        <s v="Yaourt " u="1"/>
        <s v="Crème de whisky " u="1"/>
      </sharedItems>
    </cacheField>
    <cacheField name="Format" numFmtId="0">
      <sharedItems count="10">
        <s v="2,5L"/>
        <s v="800ml"/>
        <s v="1L"/>
        <s v="5L"/>
        <s v=" 750ml " u="1"/>
        <s v="autre" u="1"/>
        <s v=" 450ml " u="1"/>
        <s v=" 2,5L " u="1"/>
        <s v=" 120ml " u="1"/>
        <s v=" 2,5L" u="1"/>
      </sharedItems>
    </cacheField>
    <cacheField name="Quantité " numFmtId="0">
      <sharedItems containsSemiMixedTypes="0" containsString="0" containsNumber="1" containsInteger="1" minValue="1" maxValue="20"/>
    </cacheField>
    <cacheField name="Prix Net" numFmtId="8">
      <sharedItems containsSemiMixedTypes="0" containsString="0" containsNumber="1" containsInteger="1" minValue="20" maxValue="50"/>
    </cacheField>
    <cacheField name="Prix" numFmtId="8">
      <sharedItems containsSemiMixedTypes="0" containsString="0" containsNumber="1" containsInteger="1" minValue="20" maxValue="1000"/>
    </cacheField>
    <cacheField name="Mois" numFmtId="0" databaseField="0">
      <fieldGroup base="3">
        <rangePr groupBy="months" startDate="2024-01-09T00:00:00" endDate="2024-12-27T00:00:00"/>
        <groupItems count="14">
          <s v="&lt;09/01/2024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7/12/2024"/>
        </groupItems>
      </fieldGroup>
    </cacheField>
  </cacheFields>
  <extLst>
    <ext xmlns:x14="http://schemas.microsoft.com/office/spreadsheetml/2009/9/main" uri="{725AE2AE-9491-48be-B2B4-4EB974FC3084}">
      <x14:pivotCacheDefinition pivotCacheId="1463271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n v="3000"/>
  </r>
  <r>
    <x v="1"/>
    <n v="200"/>
  </r>
  <r>
    <x v="2"/>
    <n v="500"/>
  </r>
  <r>
    <x v="3"/>
    <n v="200"/>
  </r>
  <r>
    <x v="4"/>
    <n v="300"/>
  </r>
  <r>
    <x v="5"/>
    <n v="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x v="0"/>
    <x v="0"/>
    <n v="20"/>
    <n v="30"/>
    <n v="600"/>
  </r>
  <r>
    <x v="0"/>
    <x v="0"/>
    <x v="0"/>
    <x v="1"/>
    <x v="1"/>
    <x v="0"/>
    <n v="20"/>
    <n v="30"/>
    <n v="600"/>
  </r>
  <r>
    <x v="0"/>
    <x v="0"/>
    <x v="0"/>
    <x v="2"/>
    <x v="2"/>
    <x v="0"/>
    <n v="20"/>
    <n v="30"/>
    <n v="600"/>
  </r>
  <r>
    <x v="0"/>
    <x v="0"/>
    <x v="0"/>
    <x v="3"/>
    <x v="3"/>
    <x v="0"/>
    <n v="20"/>
    <n v="30"/>
    <n v="600"/>
  </r>
  <r>
    <x v="0"/>
    <x v="0"/>
    <x v="0"/>
    <x v="4"/>
    <x v="4"/>
    <x v="0"/>
    <n v="20"/>
    <n v="30"/>
    <n v="600"/>
  </r>
  <r>
    <x v="0"/>
    <x v="0"/>
    <x v="0"/>
    <x v="5"/>
    <x v="5"/>
    <x v="1"/>
    <n v="20"/>
    <n v="20"/>
    <n v="400"/>
  </r>
  <r>
    <x v="0"/>
    <x v="0"/>
    <x v="0"/>
    <x v="6"/>
    <x v="0"/>
    <x v="1"/>
    <n v="20"/>
    <n v="20"/>
    <n v="400"/>
  </r>
  <r>
    <x v="1"/>
    <x v="1"/>
    <x v="1"/>
    <x v="7"/>
    <x v="1"/>
    <x v="1"/>
    <n v="20"/>
    <n v="20"/>
    <n v="400"/>
  </r>
  <r>
    <x v="1"/>
    <x v="1"/>
    <x v="1"/>
    <x v="8"/>
    <x v="2"/>
    <x v="1"/>
    <n v="20"/>
    <n v="20"/>
    <n v="400"/>
  </r>
  <r>
    <x v="2"/>
    <x v="0"/>
    <x v="2"/>
    <x v="9"/>
    <x v="3"/>
    <x v="2"/>
    <n v="20"/>
    <n v="20"/>
    <n v="400"/>
  </r>
  <r>
    <x v="1"/>
    <x v="1"/>
    <x v="1"/>
    <x v="10"/>
    <x v="4"/>
    <x v="2"/>
    <n v="20"/>
    <n v="20"/>
    <n v="400"/>
  </r>
  <r>
    <x v="1"/>
    <x v="1"/>
    <x v="1"/>
    <x v="11"/>
    <x v="5"/>
    <x v="2"/>
    <n v="20"/>
    <n v="50"/>
    <n v="1000"/>
  </r>
  <r>
    <x v="1"/>
    <x v="1"/>
    <x v="1"/>
    <x v="12"/>
    <x v="0"/>
    <x v="2"/>
    <n v="20"/>
    <n v="50"/>
    <n v="1000"/>
  </r>
  <r>
    <x v="3"/>
    <x v="0"/>
    <x v="3"/>
    <x v="13"/>
    <x v="1"/>
    <x v="2"/>
    <n v="4"/>
    <n v="50"/>
    <n v="200"/>
  </r>
  <r>
    <x v="3"/>
    <x v="0"/>
    <x v="3"/>
    <x v="14"/>
    <x v="2"/>
    <x v="2"/>
    <n v="4"/>
    <n v="50"/>
    <n v="200"/>
  </r>
  <r>
    <x v="1"/>
    <x v="1"/>
    <x v="1"/>
    <x v="15"/>
    <x v="3"/>
    <x v="1"/>
    <n v="4"/>
    <n v="20"/>
    <n v="80"/>
  </r>
  <r>
    <x v="4"/>
    <x v="2"/>
    <x v="4"/>
    <x v="16"/>
    <x v="4"/>
    <x v="3"/>
    <n v="4"/>
    <n v="20"/>
    <n v="80"/>
  </r>
  <r>
    <x v="4"/>
    <x v="2"/>
    <x v="4"/>
    <x v="17"/>
    <x v="5"/>
    <x v="3"/>
    <n v="1"/>
    <n v="20"/>
    <n v="20"/>
  </r>
  <r>
    <x v="4"/>
    <x v="2"/>
    <x v="4"/>
    <x v="18"/>
    <x v="0"/>
    <x v="3"/>
    <n v="10"/>
    <n v="20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2F8F9-18AF-4AB1-A672-A1D15841E922}" name="Tableau croisé dynamique1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A3:AB7" firstHeaderRow="1" firstDataRow="1" firstDataCol="1" rowPageCount="1" colPageCount="1"/>
  <pivotFields count="10">
    <pivotField showAll="0"/>
    <pivotField axis="axisRow" showAll="0" sortType="descending">
      <items count="5">
        <item x="0"/>
        <item x="1"/>
        <item m="1"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items count="7">
        <item m="1" x="5"/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8" showAll="0"/>
    <pivotField dataField="1" numFmtId="8" showAll="0"/>
    <pivotField axis="axisPage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4">
    <i>
      <x/>
    </i>
    <i>
      <x v="1"/>
    </i>
    <i>
      <x v="3"/>
    </i>
    <i t="grand">
      <x/>
    </i>
  </rowItems>
  <colItems count="1">
    <i/>
  </colItems>
  <pageFields count="1">
    <pageField fld="9" hier="-1"/>
  </pageFields>
  <dataFields count="1">
    <dataField name="Somme de Prix" fld="8" baseField="0" baseItem="0" numFmtId="164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34D25-763B-4B7F-982B-2F74B1FFFCD2}" name="Tableau croisé dynamique2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G3:AI8" firstHeaderRow="0" firstDataRow="1" firstDataCol="1" rowPageCount="1" colPageCount="1"/>
  <pivotFields count="10">
    <pivotField showAll="0"/>
    <pivotField showAll="0" sortType="descending">
      <items count="5">
        <item x="0"/>
        <item x="2"/>
        <item x="1"/>
        <item m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items count="7">
        <item m="1" x="5"/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11">
        <item m="1" x="8"/>
        <item m="1" x="9"/>
        <item m="1" x="7"/>
        <item m="1" x="6"/>
        <item m="1" x="4"/>
        <item m="1" x="5"/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8" showAll="0"/>
    <pivotField dataField="1" numFmtId="8" showAll="0"/>
    <pivotField axis="axisPage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5"/>
  </rowFields>
  <rowItems count="5">
    <i>
      <x v="8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omme de Prix" fld="8" baseField="0" baseItem="0" numFmtId="164"/>
    <dataField name="Somme de Prix2" fld="8" showDataAs="percentOfTotal" baseField="0" baseItem="0" numFmtId="10"/>
  </dataFields>
  <formats count="2">
    <format dxfId="17">
      <pivotArea outline="0" collapsedLevelsAreSubtotals="1" fieldPosition="0"/>
    </format>
    <format dxfId="16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32D8B7-06BE-4605-B7F7-0EAB370D59E9}" name="Tableau croisé dynamique3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3">
  <location ref="D3:F11" firstHeaderRow="0" firstDataRow="1" firstDataCol="1"/>
  <pivotFields count="10">
    <pivotField showAll="0"/>
    <pivotField showAll="0">
      <items count="5">
        <item x="0"/>
        <item x="2"/>
        <item x="1"/>
        <item m="1" x="3"/>
        <item t="default"/>
      </items>
    </pivotField>
    <pivotField showAll="0">
      <items count="7">
        <item m="1" x="5"/>
        <item x="0"/>
        <item x="1"/>
        <item x="2"/>
        <item x="3"/>
        <item x="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8" showAll="0"/>
    <pivotField dataField="1" numFmtId="8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9"/>
  </rowFields>
  <rowItems count="8">
    <i>
      <x v="1"/>
    </i>
    <i>
      <x v="2"/>
    </i>
    <i>
      <x v="5"/>
    </i>
    <i>
      <x v="7"/>
    </i>
    <i>
      <x v="8"/>
    </i>
    <i>
      <x v="9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Prix" fld="8" baseField="0" baseItem="0" numFmtId="164"/>
    <dataField name="Somme de Prix2" fld="8" baseField="0" baseItem="0"/>
  </dataFields>
  <formats count="1">
    <format dxfId="18">
      <pivotArea outline="0" collapsedLevelsAreSubtotals="1" fieldPosition="0"/>
    </format>
  </format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AE956A-1965-4B6B-8799-820ED204ABCC}" name="TCD CA TOTAL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A4" firstHeaderRow="1" firstDataRow="1" firstDataCol="0" rowPageCount="1" colPageCount="1"/>
  <pivotFields count="10">
    <pivotField showAll="0"/>
    <pivotField showAll="0">
      <items count="5">
        <item x="0"/>
        <item x="2"/>
        <item x="1"/>
        <item m="1" x="3"/>
        <item t="default"/>
      </items>
    </pivotField>
    <pivotField showAll="0">
      <items count="7">
        <item m="1" x="5"/>
        <item x="0"/>
        <item x="1"/>
        <item x="2"/>
        <item x="3"/>
        <item x="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8" showAll="0"/>
    <pivotField dataField="1" numFmtId="8" showAll="0"/>
    <pivotField axis="axisPage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9" hier="-1"/>
  </pageFields>
  <dataFields count="1">
    <dataField name="Somme de Prix" fld="8" baseField="0" baseItem="0" numFmtId="164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92A98-68BF-4862-9915-642CB79160BB}" name="Tableau croisé dynamique9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T3:V10" firstHeaderRow="0" firstDataRow="1" firstDataCol="1" rowPageCount="1" colPageCount="1"/>
  <pivotFields count="10">
    <pivotField showAll="0"/>
    <pivotField showAll="0">
      <items count="5">
        <item x="0"/>
        <item x="2"/>
        <item x="1"/>
        <item m="1" x="3"/>
        <item t="default"/>
      </items>
    </pivotField>
    <pivotField showAll="0" sortType="descending">
      <items count="7">
        <item m="1" x="5"/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descending">
      <items count="58">
        <item m="1" x="33"/>
        <item m="1" x="41"/>
        <item m="1" x="46"/>
        <item m="1" x="39"/>
        <item m="1" x="49"/>
        <item m="1" x="21"/>
        <item m="1" x="30"/>
        <item m="1" x="48"/>
        <item m="1" x="15"/>
        <item m="1" x="24"/>
        <item m="1" x="56"/>
        <item m="1" x="12"/>
        <item m="1" x="47"/>
        <item m="1" x="26"/>
        <item m="1" x="36"/>
        <item m="1" x="54"/>
        <item m="1" x="53"/>
        <item m="1" x="17"/>
        <item m="1" x="38"/>
        <item m="1" x="18"/>
        <item m="1" x="35"/>
        <item m="1" x="34"/>
        <item m="1" x="40"/>
        <item m="1" x="8"/>
        <item m="1" x="31"/>
        <item m="1" x="22"/>
        <item m="1" x="45"/>
        <item m="1" x="43"/>
        <item m="1" x="51"/>
        <item m="1" x="13"/>
        <item m="1" x="44"/>
        <item m="1" x="42"/>
        <item m="1" x="14"/>
        <item m="1" x="28"/>
        <item m="1" x="11"/>
        <item m="1" x="37"/>
        <item m="1" x="29"/>
        <item m="1" x="55"/>
        <item m="1" x="7"/>
        <item m="1" x="6"/>
        <item m="1" x="23"/>
        <item m="1" x="20"/>
        <item m="1" x="19"/>
        <item m="1" x="16"/>
        <item m="1" x="10"/>
        <item m="1" x="32"/>
        <item m="1" x="9"/>
        <item m="1" x="52"/>
        <item m="1" x="25"/>
        <item m="1" x="27"/>
        <item m="1" x="50"/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8" showAll="0"/>
    <pivotField dataField="1" numFmtId="8" showAll="0"/>
    <pivotField axis="axisPage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4"/>
  </rowFields>
  <rowItems count="7">
    <i>
      <x v="51"/>
    </i>
    <i>
      <x v="56"/>
    </i>
    <i>
      <x v="52"/>
    </i>
    <i>
      <x v="53"/>
    </i>
    <i>
      <x v="54"/>
    </i>
    <i>
      <x v="55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omme de Prix" fld="8" baseField="0" baseItem="0" numFmtId="164"/>
    <dataField name="Somme de Prix2" fld="8" showDataAs="percentOfTotal" baseField="0" baseItem="0" numFmtId="10"/>
  </dataFields>
  <formats count="2">
    <format dxfId="21">
      <pivotArea outline="0" collapsedLevelsAreSubtotals="1" fieldPosition="0"/>
    </format>
    <format dxfId="2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F5BA0-F8FF-4C85-B019-3A86F23D7AF9}" name="Tableau croisé dynamique6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I3:J9" firstHeaderRow="1" firstDataRow="1" firstDataCol="1" rowPageCount="1" colPageCount="1"/>
  <pivotFields count="10">
    <pivotField showAll="0"/>
    <pivotField showAll="0">
      <items count="5">
        <item x="0"/>
        <item x="2"/>
        <item x="1"/>
        <item m="1" x="3"/>
        <item t="default"/>
      </items>
    </pivotField>
    <pivotField axis="axisRow" showAll="0" sortType="descending">
      <items count="7">
        <item m="1" x="5"/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8" showAll="0"/>
    <pivotField dataField="1" numFmtId="8" showAll="0"/>
    <pivotField axis="axisPage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6">
    <i>
      <x v="1"/>
    </i>
    <i>
      <x v="2"/>
    </i>
    <i>
      <x v="4"/>
    </i>
    <i>
      <x v="3"/>
    </i>
    <i>
      <x v="5"/>
    </i>
    <i t="grand">
      <x/>
    </i>
  </rowItems>
  <colItems count="1">
    <i/>
  </colItems>
  <pageFields count="1">
    <pageField fld="9" hier="-1"/>
  </pageFields>
  <dataFields count="1">
    <dataField name="Somme de Prix" fld="8" baseField="0" baseItem="0" numFmtId="164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7AF0D-150B-40A9-B535-91335FE7C699}" name="Tableau croisé dynamique7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N3:O9" firstHeaderRow="1" firstDataRow="1" firstDataCol="1" rowPageCount="1" colPageCount="1"/>
  <pivotFields count="10">
    <pivotField axis="axisRow" showAll="0" sortType="descending">
      <items count="67">
        <item m="1" x="65"/>
        <item m="1" x="42"/>
        <item m="1" x="48"/>
        <item m="1" x="8"/>
        <item m="1" x="49"/>
        <item m="1" x="33"/>
        <item m="1" x="58"/>
        <item m="1" x="35"/>
        <item m="1" x="60"/>
        <item m="1" x="17"/>
        <item m="1" x="30"/>
        <item m="1" x="22"/>
        <item m="1" x="38"/>
        <item m="1" x="20"/>
        <item m="1" x="63"/>
        <item m="1" x="54"/>
        <item m="1" x="25"/>
        <item m="1" x="26"/>
        <item m="1" x="50"/>
        <item m="1" x="5"/>
        <item m="1" x="59"/>
        <item m="1" x="13"/>
        <item m="1" x="15"/>
        <item m="1" x="28"/>
        <item m="1" x="29"/>
        <item m="1" x="41"/>
        <item m="1" x="23"/>
        <item m="1" x="64"/>
        <item m="1" x="9"/>
        <item m="1" x="53"/>
        <item m="1" x="19"/>
        <item m="1" x="46"/>
        <item m="1" x="62"/>
        <item m="1" x="51"/>
        <item m="1" x="14"/>
        <item m="1" x="55"/>
        <item m="1" x="39"/>
        <item m="1" x="37"/>
        <item m="1" x="11"/>
        <item m="1" x="57"/>
        <item m="1" x="34"/>
        <item m="1" x="32"/>
        <item m="1" x="24"/>
        <item m="1" x="47"/>
        <item m="1" x="52"/>
        <item m="1" x="40"/>
        <item m="1" x="21"/>
        <item m="1" x="10"/>
        <item m="1" x="31"/>
        <item m="1" x="6"/>
        <item m="1" x="44"/>
        <item m="1" x="45"/>
        <item m="1" x="18"/>
        <item m="1" x="43"/>
        <item m="1" x="7"/>
        <item m="1" x="12"/>
        <item m="1" x="27"/>
        <item m="1" x="61"/>
        <item m="1" x="16"/>
        <item m="1" x="36"/>
        <item x="0"/>
        <item x="1"/>
        <item x="2"/>
        <item x="3"/>
        <item x="4"/>
        <item m="1" x="5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0"/>
        <item x="2"/>
        <item x="1"/>
        <item m="1" x="3"/>
        <item t="default"/>
      </items>
    </pivotField>
    <pivotField showAll="0" sortType="descending">
      <items count="7">
        <item m="1" x="5"/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8" showAll="0"/>
    <pivotField dataField="1" numFmtId="8" showAll="0"/>
    <pivotField axis="axisPage" multipleItemSelectionAllowed="1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6">
    <i>
      <x v="60"/>
    </i>
    <i>
      <x v="61"/>
    </i>
    <i>
      <x v="63"/>
    </i>
    <i>
      <x v="62"/>
    </i>
    <i>
      <x v="64"/>
    </i>
    <i t="grand">
      <x/>
    </i>
  </rowItems>
  <colItems count="1">
    <i/>
  </colItems>
  <pageFields count="1">
    <pageField fld="9" hier="-1"/>
  </pageFields>
  <dataFields count="1">
    <dataField name="Somme de Prix" fld="8" baseField="0" baseItem="0" numFmtId="164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C212DB-F21C-4D75-A307-7D10EDC10278}" name="TCD boutique" cacheId="0" applyNumberFormats="0" applyBorderFormats="0" applyFontFormats="0" applyPatternFormats="0" applyAlignmentFormats="0" applyWidthHeightFormats="1" dataCaption="Valeurs" updatedVersion="7" minRefreshableVersion="3" itemPrintTitles="1" createdVersion="7" indent="0" compact="0" compactData="0" gridDropZones="1" multipleFieldFilters="0">
  <location ref="A3:B4" firstHeaderRow="1" firstDataRow="1" firstDataCol="1" rowPageCount="1" colPageCount="1"/>
  <pivotFields count="3">
    <pivotField axis="axisPage" compact="0" numFmtId="17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compact="0" numFmtId="164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0" hier="-1"/>
  </pageFields>
  <dataFields count="1">
    <dataField name="Somme de somme" fld="1" baseField="0" baseItem="0" numFmtId="164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D08BF0-E22C-4052-94B7-9A3FEDE9AE25}" name="Tableau croisé dynamique4" cacheId="0" applyNumberFormats="0" applyBorderFormats="0" applyFontFormats="0" applyPatternFormats="0" applyAlignmentFormats="0" applyWidthHeightFormats="1" dataCaption="Valeurs" updatedVersion="7" minRefreshableVersion="3" itemPrintTitles="1" createdVersion="7" indent="0" compact="0" compactData="0" gridDropZones="1" multipleFieldFilters="0" chartFormat="3">
  <location ref="D3:F11" firstHeaderRow="1" firstDataRow="2" firstDataCol="1"/>
  <pivotFields count="3">
    <pivotField axis="axisRow" compact="0" numFmtId="17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compact="0" numFmtId="164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7">
    <i>
      <x v="183"/>
    </i>
    <i>
      <x v="214"/>
    </i>
    <i>
      <x v="245"/>
    </i>
    <i>
      <x v="275"/>
    </i>
    <i>
      <x v="306"/>
    </i>
    <i>
      <x v="336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omme" fld="1" baseField="0" baseItem="0" numFmtId="164"/>
    <dataField name="Somme de somme2" fld="1" baseField="0" baseItem="0"/>
  </dataFields>
  <formats count="1">
    <format dxfId="3">
      <pivotArea outline="0" collapsedLevelsAreSubtotals="1" fieldPosition="0"/>
    </format>
  </format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gion" xr10:uid="{ABEE1D46-51CD-44E4-9D1B-6D7F2F6B6288}" sourceName="Région">
  <pivotTables>
    <pivotTable tabId="14" name="TCD CA TOTAL"/>
    <pivotTable tabId="14" name="Tableau croisé dynamique3"/>
    <pivotTable tabId="14" name="Tableau croisé dynamique6"/>
    <pivotTable tabId="14" name="Tableau croisé dynamique7"/>
    <pivotTable tabId="14" name="Tableau croisé dynamique9"/>
    <pivotTable tabId="14" name="Tableau croisé dynamique1"/>
    <pivotTable tabId="14" name="Tableau croisé dynamique2"/>
  </pivotTables>
  <data>
    <tabular pivotCacheId="14632718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mmercial" xr10:uid="{0FF59844-49D0-4A54-90EB-1EBF391B9A63}" sourceName="Commercial">
  <pivotTables>
    <pivotTable tabId="14" name="TCD CA TOTAL"/>
    <pivotTable tabId="14" name="Tableau croisé dynamique3"/>
    <pivotTable tabId="14" name="Tableau croisé dynamique6"/>
    <pivotTable tabId="14" name="Tableau croisé dynamique7"/>
    <pivotTable tabId="14" name="Tableau croisé dynamique9"/>
    <pivotTable tabId="14" name="Tableau croisé dynamique1"/>
    <pivotTable tabId="14" name="Tableau croisé dynamique2"/>
  </pivotTables>
  <data>
    <tabular pivotCacheId="146327187">
      <items count="6">
        <i x="0" s="1"/>
        <i x="1" s="1"/>
        <i x="2" s="1"/>
        <i x="3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A7036424-F06D-48CB-B9D9-30524CE96FB7}" sourceName="Mois">
  <pivotTables>
    <pivotTable tabId="14" name="TCD CA TOTAL"/>
    <pivotTable tabId="14" name="Tableau croisé dynamique3"/>
    <pivotTable tabId="14" name="Tableau croisé dynamique6"/>
    <pivotTable tabId="14" name="Tableau croisé dynamique7"/>
    <pivotTable tabId="14" name="Tableau croisé dynamique9"/>
    <pivotTable tabId="14" name="Tableau croisé dynamique1"/>
    <pivotTable tabId="14" name="Tableau croisé dynamique2"/>
  </pivotTables>
  <data>
    <tabular pivotCacheId="146327187">
      <items count="14">
        <i x="1" s="1"/>
        <i x="2" s="1"/>
        <i x="5" s="1"/>
        <i x="7" s="1"/>
        <i x="8" s="1"/>
        <i x="9" s="1"/>
        <i x="12" s="1"/>
        <i x="3" s="1" nd="1"/>
        <i x="4" s="1" nd="1"/>
        <i x="6" s="1" nd="1"/>
        <i x="10" s="1" nd="1"/>
        <i x="11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2" xr10:uid="{4A852762-758A-4CC4-A397-9DB4CD43EEBD}" sourceName="Mois2">
  <pivotTables>
    <pivotTable tabId="16" name="TCD boutique"/>
    <pivotTable tabId="16" name="Tableau croisé dynamique4"/>
  </pivotTables>
  <data>
    <tabular pivotCacheId="1446483672">
      <items count="14">
        <i x="7" s="1"/>
        <i x="8" s="1"/>
        <i x="9" s="1"/>
        <i x="10" s="1"/>
        <i x="11" s="1"/>
        <i x="12" s="1"/>
        <i x="1" s="1" nd="1"/>
        <i x="2" s="1" nd="1"/>
        <i x="3" s="1" nd="1"/>
        <i x="4" s="1" nd="1"/>
        <i x="5" s="1" nd="1"/>
        <i x="6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égion" xr10:uid="{D6AAD0D2-FAD4-4C82-85A5-547953DBAC76}" cache="Segment_Région" caption="Région" style="SlicerStyleLight1 2" rowHeight="241300"/>
  <slicer name="Commercial" xr10:uid="{2E2463AD-DA06-418C-BAF6-71C7C34B9677}" cache="Segment_Commercial" caption="Commercial" style="SlicerStyleLight1 2" rowHeight="241300"/>
  <slicer name="Mois pro" xr10:uid="{7EB9BF62-68FC-4252-9B60-4044C6BCB1D2}" cache="Segment_Mois" caption="Mois pro" style="SlicerStyleLight1 2" rowHeight="241300"/>
  <slicer name="Mois boutique" xr10:uid="{983A2EA9-D8D6-489C-A230-25AAF0AD795C}" cache="Segment_Mois2" caption="Mois boutique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3EDC8-9586-422C-B6AA-807DB8618FB0}" name="Tableau1" displayName="Tableau1" ref="A1:I20" totalsRowShown="0" headerRowDxfId="14" dataDxfId="13">
  <sortState xmlns:xlrd2="http://schemas.microsoft.com/office/spreadsheetml/2017/richdata2" ref="A2:I20">
    <sortCondition ref="D2:D20"/>
  </sortState>
  <tableColumns count="9">
    <tableColumn id="1" xr3:uid="{1C201B20-2C80-4346-B785-16139B16C3AC}" name="Entreprise" dataDxfId="12"/>
    <tableColumn id="2" xr3:uid="{C5DD5281-B15F-40BE-9FBD-99CFBBD6B4A7}" name="Région" dataDxfId="11"/>
    <tableColumn id="3" xr3:uid="{36EC4D45-6678-4826-BC29-9C90EC25C3B4}" name="Commercial" dataDxfId="10"/>
    <tableColumn id="4" xr3:uid="{FC2E2C64-A417-4697-B9EB-BAB6D71F4DFD}" name="Date" dataDxfId="9"/>
    <tableColumn id="8" xr3:uid="{77CA09AB-5B11-48A3-B3C8-FDE916E101D9}" name="Parfum" dataDxfId="8">
      <calculatedColumnFormula>IFERROR(MID(#REF!,FIND("glace",#REF!&amp;"glace")+6,FIND("Drôme",#REF!)-FIND("glace",#REF!&amp;"glace")-6),IFERROR(MID(#REF!,FIND("sorbet",#REF!&amp;"sorbet")+7,FIND("Drôme",#REF!)-FIND("sorbet",#REF!&amp;"sorbet")-7),IFERROR(MID(#REF!,FIND("Bûche ",#REF!&amp;"Bûche ")+6,FIND("Drôme",#REF!)-FIND("Bûche ",#REF!&amp;"Bûche ")-6),"")))</calculatedColumnFormula>
    </tableColumn>
    <tableColumn id="12" xr3:uid="{4A82E02C-394D-4BD9-B89F-B2CF923D1C4E}" name="Format" dataDxfId="7">
      <calculatedColumnFormula>IFERROR(MID(#REF!, IF(ISNUMBER( FIND("POT",#REF!)), FIND("POT",#REF!) + 3, IF(ISNUMBER( FIND("BAC",#REF!)), FIND("BAC",#REF!) + 3, FIND("COLIS",#REF!) + 5)),
IF(ISNUMBER( FIND("glace",#REF!)), FIND("glace",#REF!) - (IF(ISNUMBER( FIND("POT",#REF!)), FIND("POT",#REF!) + 3, IF(ISNUMBER( FIND("BAC",#REF!)), FIND("BAC",#REF!) + 3, FIND("COLIS",#REF!) + 5))),
 FIND("sorbet",#REF!) - (IF(ISNUMBER( FIND("POT",#REF!)), FIND("POT",#REF!) + 3, IF(ISNUMBER( FIND("BAC",#REF!)), FIND("BAC",#REF!) + 3, FIND("COLIS",#REF!) + 5))))), "autre")</calculatedColumnFormula>
    </tableColumn>
    <tableColumn id="9" xr3:uid="{651B1D14-9DA7-4297-9E21-610C01D054C3}" name="Quantité " dataDxfId="6"/>
    <tableColumn id="10" xr3:uid="{226C1180-7B05-48C4-9711-7700A79992F5}" name="Prix Net" dataDxfId="5"/>
    <tableColumn id="11" xr3:uid="{04F8A7E1-9F83-46CB-9872-7FEFC395A424}" name="Prix" dataDxfId="4">
      <calculatedColumnFormula>Tableau1[[#This Row],[Prix Net]]*Tableau1[[#This Row],[Quantité 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A4A679-A120-4CA1-86FF-C46F72D59136}" name="Tableau2" displayName="Tableau2" ref="A2:B8" totalsRowShown="0">
  <autoFilter ref="A2:B8" xr:uid="{67A4A679-A120-4CA1-86FF-C46F72D59136}"/>
  <tableColumns count="2">
    <tableColumn id="1" xr3:uid="{3CC691F5-A01C-4493-A187-FC3D75321E3D}" name="mois" dataDxfId="1"/>
    <tableColumn id="2" xr3:uid="{38E2A8A9-05B2-419E-BC0F-C887D2536C80}" name="som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18AD8-DEAB-4F65-89C3-CAAF89ADFF20}">
  <sheetPr codeName="Feuil1"/>
  <dimension ref="A2:W66"/>
  <sheetViews>
    <sheetView showGridLines="0" tabSelected="1" zoomScale="40" zoomScaleNormal="40" workbookViewId="0">
      <selection activeCell="Z37" sqref="Z37"/>
    </sheetView>
  </sheetViews>
  <sheetFormatPr baseColWidth="10" defaultColWidth="11.44140625" defaultRowHeight="14.4" x14ac:dyDescent="0.3"/>
  <cols>
    <col min="1" max="2" width="20.6640625" style="1" customWidth="1"/>
    <col min="3" max="21" width="11.44140625" style="2"/>
    <col min="22" max="22" width="14.109375" style="2" bestFit="1" customWidth="1"/>
    <col min="23" max="16384" width="11.44140625" style="2"/>
  </cols>
  <sheetData>
    <row r="2" spans="1:20" x14ac:dyDescent="0.3">
      <c r="A2" s="1">
        <v>2</v>
      </c>
    </row>
    <row r="3" spans="1:20" x14ac:dyDescent="0.3">
      <c r="A3" s="1">
        <v>3</v>
      </c>
    </row>
    <row r="4" spans="1:20" x14ac:dyDescent="0.3">
      <c r="A4" s="1">
        <v>4</v>
      </c>
    </row>
    <row r="5" spans="1:20" x14ac:dyDescent="0.3">
      <c r="A5" s="1">
        <v>5</v>
      </c>
    </row>
    <row r="6" spans="1:20" x14ac:dyDescent="0.3">
      <c r="A6" s="1">
        <v>6</v>
      </c>
    </row>
    <row r="7" spans="1:20" x14ac:dyDescent="0.3">
      <c r="A7" s="1">
        <v>7</v>
      </c>
    </row>
    <row r="8" spans="1:20" x14ac:dyDescent="0.3">
      <c r="A8" s="1">
        <v>8</v>
      </c>
    </row>
    <row r="9" spans="1:20" x14ac:dyDescent="0.3">
      <c r="A9" s="1">
        <v>9</v>
      </c>
    </row>
    <row r="10" spans="1:20" x14ac:dyDescent="0.3">
      <c r="A10" s="1">
        <v>10</v>
      </c>
    </row>
    <row r="11" spans="1:20" x14ac:dyDescent="0.3">
      <c r="T11" s="2" t="s">
        <v>5</v>
      </c>
    </row>
    <row r="18" spans="21:22" x14ac:dyDescent="0.3">
      <c r="U18" s="10"/>
      <c r="V18" s="9"/>
    </row>
    <row r="19" spans="21:22" x14ac:dyDescent="0.3">
      <c r="U19" s="10"/>
      <c r="V19" s="9"/>
    </row>
    <row r="20" spans="21:22" x14ac:dyDescent="0.3">
      <c r="U20" s="10"/>
      <c r="V20" s="9"/>
    </row>
    <row r="21" spans="21:22" x14ac:dyDescent="0.3">
      <c r="U21" s="10"/>
      <c r="V21" s="9"/>
    </row>
    <row r="22" spans="21:22" x14ac:dyDescent="0.3">
      <c r="U22" s="10"/>
      <c r="V22" s="9"/>
    </row>
    <row r="34" spans="23:23" x14ac:dyDescent="0.3">
      <c r="W34" s="20"/>
    </row>
    <row r="66" spans="2:2" x14ac:dyDescent="0.3">
      <c r="B66" s="21"/>
    </row>
  </sheetData>
  <sheetProtection algorithmName="SHA-512" hashValue="7oNLSZR1p/CdQfMtZnIaut3IoCvgx/Q26lm0FXxGaCirea11QGEQEc60UejzV2WH+9B29kcqxNdd7Lp6TQbX3A==" saltValue="6KaijgriF/wc86nq7L78VQ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749E3-0CFC-415B-9E97-6A865FA1493A}">
  <sheetPr codeName="Feuil2"/>
  <dimension ref="A1:AP60"/>
  <sheetViews>
    <sheetView topLeftCell="AC1" workbookViewId="0">
      <selection activeCell="AJ3" sqref="AJ3:AL7"/>
    </sheetView>
  </sheetViews>
  <sheetFormatPr baseColWidth="10" defaultRowHeight="14.4" x14ac:dyDescent="0.3"/>
  <cols>
    <col min="1" max="1" width="13.5546875" bestFit="1" customWidth="1"/>
    <col min="2" max="2" width="8.21875" bestFit="1" customWidth="1"/>
    <col min="4" max="4" width="19.5546875" bestFit="1" customWidth="1"/>
    <col min="5" max="5" width="13.5546875" bestFit="1" customWidth="1"/>
    <col min="6" max="6" width="14.5546875" bestFit="1" customWidth="1"/>
    <col min="9" max="9" width="19.5546875" bestFit="1" customWidth="1"/>
    <col min="10" max="10" width="13.5546875" bestFit="1" customWidth="1"/>
    <col min="12" max="12" width="13.109375" bestFit="1" customWidth="1"/>
    <col min="14" max="14" width="19.5546875" bestFit="1" customWidth="1"/>
    <col min="15" max="15" width="13.5546875" bestFit="1" customWidth="1"/>
    <col min="17" max="17" width="30" bestFit="1" customWidth="1"/>
    <col min="20" max="20" width="19.5546875" bestFit="1" customWidth="1"/>
    <col min="21" max="21" width="13.5546875" bestFit="1" customWidth="1"/>
    <col min="22" max="22" width="14.5546875" bestFit="1" customWidth="1"/>
    <col min="23" max="23" width="21.6640625" customWidth="1"/>
    <col min="27" max="27" width="19.5546875" bestFit="1" customWidth="1"/>
    <col min="28" max="28" width="13.5546875" bestFit="1" customWidth="1"/>
    <col min="30" max="30" width="14.44140625" customWidth="1"/>
    <col min="33" max="33" width="19.5546875" bestFit="1" customWidth="1"/>
    <col min="34" max="34" width="13.5546875" bestFit="1" customWidth="1"/>
    <col min="35" max="35" width="14.5546875" bestFit="1" customWidth="1"/>
    <col min="36" max="36" width="9.44140625" bestFit="1" customWidth="1"/>
    <col min="37" max="37" width="19" bestFit="1" customWidth="1"/>
    <col min="38" max="38" width="20" bestFit="1" customWidth="1"/>
    <col min="39" max="39" width="19.33203125" bestFit="1" customWidth="1"/>
    <col min="40" max="40" width="15" bestFit="1" customWidth="1"/>
    <col min="41" max="41" width="29.109375" bestFit="1" customWidth="1"/>
    <col min="42" max="42" width="17.109375" bestFit="1" customWidth="1"/>
    <col min="43" max="43" width="9.44140625" bestFit="1" customWidth="1"/>
    <col min="44" max="44" width="13.5546875" bestFit="1" customWidth="1"/>
    <col min="45" max="45" width="16.6640625" bestFit="1" customWidth="1"/>
    <col min="46" max="46" width="9.44140625" bestFit="1" customWidth="1"/>
    <col min="47" max="47" width="10.6640625" bestFit="1" customWidth="1"/>
    <col min="48" max="48" width="11.109375" bestFit="1" customWidth="1"/>
    <col min="49" max="49" width="9.44140625" bestFit="1" customWidth="1"/>
    <col min="50" max="50" width="24.5546875" bestFit="1" customWidth="1"/>
    <col min="51" max="51" width="8.88671875" bestFit="1" customWidth="1"/>
    <col min="52" max="52" width="18.5546875" bestFit="1" customWidth="1"/>
    <col min="53" max="53" width="9.44140625" bestFit="1" customWidth="1"/>
    <col min="54" max="54" width="8" bestFit="1" customWidth="1"/>
    <col min="55" max="55" width="25" bestFit="1" customWidth="1"/>
    <col min="56" max="56" width="12.6640625" bestFit="1" customWidth="1"/>
    <col min="57" max="57" width="21.88671875" bestFit="1" customWidth="1"/>
    <col min="58" max="58" width="12.5546875" bestFit="1" customWidth="1"/>
    <col min="59" max="59" width="27.44140625" bestFit="1" customWidth="1"/>
    <col min="60" max="60" width="19.44140625" bestFit="1" customWidth="1"/>
    <col min="61" max="61" width="18.33203125" bestFit="1" customWidth="1"/>
    <col min="62" max="62" width="19.5546875" bestFit="1" customWidth="1"/>
    <col min="63" max="63" width="19.44140625" bestFit="1" customWidth="1"/>
    <col min="64" max="64" width="20.44140625" bestFit="1" customWidth="1"/>
    <col min="65" max="65" width="14.33203125" bestFit="1" customWidth="1"/>
    <col min="66" max="66" width="11.44140625" bestFit="1" customWidth="1"/>
    <col min="67" max="67" width="9.44140625" bestFit="1" customWidth="1"/>
    <col min="68" max="68" width="8" bestFit="1" customWidth="1"/>
    <col min="69" max="69" width="11.88671875" bestFit="1" customWidth="1"/>
    <col min="70" max="70" width="12.109375" bestFit="1" customWidth="1"/>
    <col min="71" max="71" width="9.44140625" bestFit="1" customWidth="1"/>
    <col min="72" max="72" width="8" bestFit="1" customWidth="1"/>
    <col min="73" max="73" width="12.5546875" bestFit="1" customWidth="1"/>
  </cols>
  <sheetData>
    <row r="1" spans="1:42" x14ac:dyDescent="0.3">
      <c r="A1" s="3" t="s">
        <v>10</v>
      </c>
      <c r="B1" t="s">
        <v>22</v>
      </c>
      <c r="I1" s="3" t="s">
        <v>10</v>
      </c>
      <c r="J1" t="s">
        <v>22</v>
      </c>
      <c r="L1" s="11" t="str">
        <f t="shared" ref="L1:M3" si="0">I4</f>
        <v>Commercial A</v>
      </c>
      <c r="M1" s="12">
        <f t="shared" si="0"/>
        <v>3800</v>
      </c>
      <c r="N1" s="3" t="s">
        <v>10</v>
      </c>
      <c r="O1" t="s">
        <v>22</v>
      </c>
      <c r="Q1" s="11" t="str">
        <f t="shared" ref="Q1:R5" si="1">N4</f>
        <v>client1</v>
      </c>
      <c r="R1" s="12">
        <f t="shared" si="1"/>
        <v>3800</v>
      </c>
      <c r="T1" s="3" t="s">
        <v>10</v>
      </c>
      <c r="U1" t="s">
        <v>22</v>
      </c>
      <c r="AA1" s="3" t="s">
        <v>10</v>
      </c>
      <c r="AB1" t="s">
        <v>22</v>
      </c>
      <c r="AG1" s="3" t="s">
        <v>10</v>
      </c>
      <c r="AH1" t="s">
        <v>22</v>
      </c>
      <c r="AM1" s="25">
        <v>1</v>
      </c>
      <c r="AN1" t="s">
        <v>4</v>
      </c>
      <c r="AO1" t="s">
        <v>41</v>
      </c>
      <c r="AP1" t="s">
        <v>42</v>
      </c>
    </row>
    <row r="2" spans="1:42" x14ac:dyDescent="0.3">
      <c r="L2" s="11" t="str">
        <f t="shared" si="0"/>
        <v>Commercial B</v>
      </c>
      <c r="M2" s="12">
        <f t="shared" si="0"/>
        <v>3280</v>
      </c>
      <c r="Q2" s="11" t="str">
        <f t="shared" si="1"/>
        <v>client2</v>
      </c>
      <c r="R2" s="12">
        <f t="shared" si="1"/>
        <v>3280</v>
      </c>
      <c r="AD2" s="13" t="str">
        <f t="shared" ref="AD2:AE2" si="2">AA4</f>
        <v>Auvergne R.A</v>
      </c>
      <c r="AE2" s="12">
        <f t="shared" si="2"/>
        <v>4600</v>
      </c>
      <c r="AM2" s="25">
        <v>1</v>
      </c>
      <c r="AN2" t="str">
        <f>AD2</f>
        <v>Auvergne R.A</v>
      </c>
      <c r="AO2" s="22">
        <f>AE2/GETPIVOTDATA("Prix",$AA$3)</f>
        <v>0.56234718826405872</v>
      </c>
      <c r="AP2" s="22">
        <f>1-AO2</f>
        <v>0.43765281173594128</v>
      </c>
    </row>
    <row r="3" spans="1:42" x14ac:dyDescent="0.3">
      <c r="A3" t="s">
        <v>20</v>
      </c>
      <c r="D3" s="3" t="s">
        <v>21</v>
      </c>
      <c r="E3" t="s">
        <v>20</v>
      </c>
      <c r="F3" t="s">
        <v>35</v>
      </c>
      <c r="G3" s="8" t="s">
        <v>11</v>
      </c>
      <c r="H3" s="4">
        <v>432</v>
      </c>
      <c r="I3" s="3" t="s">
        <v>21</v>
      </c>
      <c r="J3" t="s">
        <v>20</v>
      </c>
      <c r="L3" s="11" t="str">
        <f t="shared" si="0"/>
        <v>Commercial D</v>
      </c>
      <c r="M3" s="12">
        <f t="shared" si="0"/>
        <v>400</v>
      </c>
      <c r="N3" s="3" t="s">
        <v>21</v>
      </c>
      <c r="O3" t="s">
        <v>20</v>
      </c>
      <c r="Q3" s="11" t="str">
        <f t="shared" si="1"/>
        <v>client4</v>
      </c>
      <c r="R3" s="12">
        <f t="shared" si="1"/>
        <v>400</v>
      </c>
      <c r="T3" s="3" t="s">
        <v>21</v>
      </c>
      <c r="U3" t="s">
        <v>20</v>
      </c>
      <c r="V3" t="s">
        <v>35</v>
      </c>
      <c r="W3" s="11"/>
      <c r="X3" s="24" t="s">
        <v>38</v>
      </c>
      <c r="Y3" s="24" t="s">
        <v>39</v>
      </c>
      <c r="AA3" s="3" t="s">
        <v>21</v>
      </c>
      <c r="AB3" t="s">
        <v>20</v>
      </c>
      <c r="AG3" s="3" t="s">
        <v>21</v>
      </c>
      <c r="AH3" t="s">
        <v>20</v>
      </c>
      <c r="AI3" t="s">
        <v>35</v>
      </c>
      <c r="AJ3" s="1"/>
      <c r="AK3" s="24" t="s">
        <v>38</v>
      </c>
      <c r="AL3" s="24" t="s">
        <v>40</v>
      </c>
      <c r="AM3" s="25">
        <v>1</v>
      </c>
    </row>
    <row r="4" spans="1:42" x14ac:dyDescent="0.3">
      <c r="A4" s="4">
        <v>8180</v>
      </c>
      <c r="D4" s="8" t="s">
        <v>11</v>
      </c>
      <c r="E4" s="4">
        <v>600</v>
      </c>
      <c r="F4" s="4">
        <v>600</v>
      </c>
      <c r="G4" s="8" t="s">
        <v>12</v>
      </c>
      <c r="H4" s="4">
        <v>131.19999999999999</v>
      </c>
      <c r="I4" s="8" t="s">
        <v>46</v>
      </c>
      <c r="J4" s="4">
        <v>3800</v>
      </c>
      <c r="N4" s="8" t="s">
        <v>50</v>
      </c>
      <c r="O4" s="4">
        <v>3800</v>
      </c>
      <c r="Q4" s="11" t="str">
        <f t="shared" si="1"/>
        <v>client3</v>
      </c>
      <c r="R4" s="12">
        <f t="shared" si="1"/>
        <v>400</v>
      </c>
      <c r="T4" s="8" t="s">
        <v>55</v>
      </c>
      <c r="U4" s="4">
        <v>2200</v>
      </c>
      <c r="V4" s="22">
        <v>0.26894865525672373</v>
      </c>
      <c r="W4" s="11" t="str">
        <f>T4</f>
        <v>chocolat au lait</v>
      </c>
      <c r="X4" s="12">
        <f>IFERROR(VLOOKUP(W4,$T$4:$V$42,2,),"")</f>
        <v>2200</v>
      </c>
      <c r="Y4" s="23">
        <f>IFERROR(VLOOKUP(W4,$T$4:$V$42,3,),"")</f>
        <v>0.26894865525672373</v>
      </c>
      <c r="AA4" s="8" t="s">
        <v>6</v>
      </c>
      <c r="AB4" s="4">
        <v>4600</v>
      </c>
      <c r="AG4" s="8" t="s">
        <v>63</v>
      </c>
      <c r="AH4" s="4">
        <v>3200</v>
      </c>
      <c r="AI4" s="22">
        <v>0.39119804400977998</v>
      </c>
      <c r="AJ4" s="11" t="str">
        <f t="shared" ref="AJ4:AJ8" si="3">AG4</f>
        <v>1L</v>
      </c>
      <c r="AK4" s="12">
        <f>IFERROR(VLOOKUP(AG4,$AG$4:$AI$8,2,),"")</f>
        <v>3200</v>
      </c>
      <c r="AL4" s="23">
        <f>IFERROR(VLOOKUP(AG4,$AG$4:$AI$8,3,),"")</f>
        <v>0.39119804400977998</v>
      </c>
      <c r="AM4" s="25">
        <v>1</v>
      </c>
    </row>
    <row r="5" spans="1:42" x14ac:dyDescent="0.3">
      <c r="D5" s="8" t="s">
        <v>64</v>
      </c>
      <c r="E5" s="4">
        <v>600</v>
      </c>
      <c r="F5" s="4">
        <v>600</v>
      </c>
      <c r="G5" s="8" t="s">
        <v>13</v>
      </c>
      <c r="H5" s="4">
        <v>3791.3500000000017</v>
      </c>
      <c r="I5" s="8" t="s">
        <v>47</v>
      </c>
      <c r="J5" s="4">
        <v>3280</v>
      </c>
      <c r="N5" s="8" t="s">
        <v>51</v>
      </c>
      <c r="O5" s="4">
        <v>3280</v>
      </c>
      <c r="Q5" s="11" t="str">
        <f t="shared" si="1"/>
        <v>client5</v>
      </c>
      <c r="R5" s="12">
        <f t="shared" si="1"/>
        <v>300</v>
      </c>
      <c r="T5" s="8" t="s">
        <v>60</v>
      </c>
      <c r="U5" s="4">
        <v>1420</v>
      </c>
      <c r="V5" s="22">
        <v>0.17359413202933985</v>
      </c>
      <c r="W5" s="11" t="str">
        <f>T5</f>
        <v>mangue</v>
      </c>
      <c r="X5" s="12">
        <f>IFERROR(VLOOKUP(W5,$T$4:$V$42,2,),"")</f>
        <v>1420</v>
      </c>
      <c r="Y5" s="23">
        <f>IFERROR(VLOOKUP(W5,$T$4:$V$42,3,),"")</f>
        <v>0.17359413202933985</v>
      </c>
      <c r="AA5" s="8" t="s">
        <v>7</v>
      </c>
      <c r="AB5" s="4">
        <v>3280</v>
      </c>
      <c r="AG5" s="8" t="s">
        <v>61</v>
      </c>
      <c r="AH5" s="4">
        <v>3000</v>
      </c>
      <c r="AI5" s="22">
        <v>0.36674816625916873</v>
      </c>
      <c r="AJ5" s="11" t="str">
        <f t="shared" si="3"/>
        <v>2,5L</v>
      </c>
      <c r="AK5" s="12">
        <f t="shared" ref="AK5:AK8" si="4">IFERROR(VLOOKUP(AG5,$AG$4:$AI$8,2,),"")</f>
        <v>3000</v>
      </c>
      <c r="AL5" s="23">
        <f t="shared" ref="AL5:AL8" si="5">IFERROR(VLOOKUP(AG5,$AG$4:$AI$8,3,),"")</f>
        <v>0.36674816625916873</v>
      </c>
      <c r="AM5" s="25">
        <v>1</v>
      </c>
    </row>
    <row r="6" spans="1:42" x14ac:dyDescent="0.3">
      <c r="D6" s="8" t="s">
        <v>14</v>
      </c>
      <c r="E6" s="4">
        <v>1800</v>
      </c>
      <c r="F6" s="4">
        <v>1800</v>
      </c>
      <c r="G6" s="8" t="s">
        <v>14</v>
      </c>
      <c r="H6" s="4">
        <v>5487.5000000000018</v>
      </c>
      <c r="I6" s="8" t="s">
        <v>65</v>
      </c>
      <c r="J6" s="4">
        <v>400</v>
      </c>
      <c r="N6" s="8" t="s">
        <v>53</v>
      </c>
      <c r="O6" s="4">
        <v>400</v>
      </c>
      <c r="T6" s="8" t="s">
        <v>57</v>
      </c>
      <c r="U6" s="4">
        <v>1200</v>
      </c>
      <c r="V6" s="22">
        <v>0.14669926650366749</v>
      </c>
      <c r="W6" s="11" t="str">
        <f>T6</f>
        <v>vanille</v>
      </c>
      <c r="X6" s="12">
        <f>IFERROR(VLOOKUP(W6,$T$4:$V$42,2,),"")</f>
        <v>1200</v>
      </c>
      <c r="Y6" s="23">
        <f>IFERROR(VLOOKUP(W6,$T$4:$V$42,3,),"")</f>
        <v>0.14669926650366749</v>
      </c>
      <c r="AA6" s="8" t="s">
        <v>34</v>
      </c>
      <c r="AB6" s="4">
        <v>300</v>
      </c>
      <c r="AG6" s="8" t="s">
        <v>62</v>
      </c>
      <c r="AH6" s="4">
        <v>1680</v>
      </c>
      <c r="AI6" s="22">
        <v>0.20537897310513448</v>
      </c>
      <c r="AJ6" s="11" t="str">
        <f t="shared" si="3"/>
        <v>800ml</v>
      </c>
      <c r="AK6" s="12">
        <f t="shared" si="4"/>
        <v>1680</v>
      </c>
      <c r="AL6" s="23">
        <f t="shared" si="5"/>
        <v>0.20537897310513448</v>
      </c>
      <c r="AM6" s="25">
        <v>1</v>
      </c>
    </row>
    <row r="7" spans="1:42" x14ac:dyDescent="0.3">
      <c r="D7" s="8" t="s">
        <v>16</v>
      </c>
      <c r="E7" s="4">
        <v>2000</v>
      </c>
      <c r="F7" s="4">
        <v>2000</v>
      </c>
      <c r="G7" s="8" t="s">
        <v>15</v>
      </c>
      <c r="H7" s="4">
        <v>10138.60999999999</v>
      </c>
      <c r="I7" s="8" t="s">
        <v>48</v>
      </c>
      <c r="J7" s="4">
        <v>400</v>
      </c>
      <c r="N7" s="8" t="s">
        <v>52</v>
      </c>
      <c r="O7" s="4">
        <v>400</v>
      </c>
      <c r="T7" s="8" t="s">
        <v>56</v>
      </c>
      <c r="U7" s="4">
        <v>1200</v>
      </c>
      <c r="V7" s="22">
        <v>0.14669926650366749</v>
      </c>
      <c r="W7" s="11" t="str">
        <f>T7</f>
        <v>citron</v>
      </c>
      <c r="X7" s="12">
        <f>IFERROR(VLOOKUP(W7,$T$4:$V$42,2,),"")</f>
        <v>1200</v>
      </c>
      <c r="Y7" s="23">
        <f>IFERROR(VLOOKUP(W7,$T$4:$V$42,3,),"")</f>
        <v>0.14669926650366749</v>
      </c>
      <c r="AA7" s="8" t="s">
        <v>9</v>
      </c>
      <c r="AB7" s="4">
        <v>8180</v>
      </c>
      <c r="AG7" s="8" t="s">
        <v>67</v>
      </c>
      <c r="AH7" s="4">
        <v>300</v>
      </c>
      <c r="AI7" s="22">
        <v>3.6674816625916873E-2</v>
      </c>
      <c r="AJ7" s="11" t="str">
        <f t="shared" si="3"/>
        <v>5L</v>
      </c>
      <c r="AK7" s="12">
        <f t="shared" si="4"/>
        <v>300</v>
      </c>
      <c r="AL7" s="23">
        <f t="shared" si="5"/>
        <v>3.6674816625916873E-2</v>
      </c>
      <c r="AM7" s="25">
        <v>1</v>
      </c>
    </row>
    <row r="8" spans="1:42" x14ac:dyDescent="0.3">
      <c r="D8" s="8" t="s">
        <v>17</v>
      </c>
      <c r="E8" s="4">
        <v>2800</v>
      </c>
      <c r="F8" s="4">
        <v>2800</v>
      </c>
      <c r="G8" s="8" t="s">
        <v>16</v>
      </c>
      <c r="H8" s="4">
        <v>25036.709999999952</v>
      </c>
      <c r="I8" s="8" t="s">
        <v>66</v>
      </c>
      <c r="J8" s="4">
        <v>300</v>
      </c>
      <c r="N8" s="8" t="s">
        <v>54</v>
      </c>
      <c r="O8" s="4">
        <v>300</v>
      </c>
      <c r="T8" s="8" t="s">
        <v>58</v>
      </c>
      <c r="U8" s="4">
        <v>1080</v>
      </c>
      <c r="V8" s="22">
        <v>0.13202933985330073</v>
      </c>
      <c r="W8" s="11" t="str">
        <f>T8</f>
        <v>caramel</v>
      </c>
      <c r="X8" s="12">
        <f>IFERROR(VLOOKUP(W8,$T$4:$V$42,2,),"")</f>
        <v>1080</v>
      </c>
      <c r="Y8" s="23">
        <f>IFERROR(VLOOKUP(W8,$T$4:$V$42,3,),"")</f>
        <v>0.13202933985330073</v>
      </c>
      <c r="AG8" s="8" t="s">
        <v>9</v>
      </c>
      <c r="AH8" s="4">
        <v>8180</v>
      </c>
      <c r="AI8" s="22">
        <v>1</v>
      </c>
      <c r="AJ8" s="11" t="str">
        <f t="shared" si="3"/>
        <v>Total général</v>
      </c>
      <c r="AK8" s="12">
        <f t="shared" si="4"/>
        <v>8180</v>
      </c>
      <c r="AL8" s="23">
        <f t="shared" si="5"/>
        <v>1</v>
      </c>
      <c r="AM8" s="25">
        <v>1</v>
      </c>
    </row>
    <row r="9" spans="1:42" x14ac:dyDescent="0.3">
      <c r="D9" s="8" t="s">
        <v>18</v>
      </c>
      <c r="E9" s="4">
        <v>160</v>
      </c>
      <c r="F9" s="4">
        <v>160</v>
      </c>
      <c r="G9" s="8" t="s">
        <v>17</v>
      </c>
      <c r="H9" s="4">
        <v>17059.299999999967</v>
      </c>
      <c r="I9" s="8" t="s">
        <v>9</v>
      </c>
      <c r="J9" s="4">
        <v>8180</v>
      </c>
      <c r="N9" s="8" t="s">
        <v>9</v>
      </c>
      <c r="O9" s="4">
        <v>8180</v>
      </c>
      <c r="T9" s="8" t="s">
        <v>59</v>
      </c>
      <c r="U9" s="4">
        <v>1080</v>
      </c>
      <c r="V9" s="22">
        <v>0.13202933985330073</v>
      </c>
      <c r="AM9" s="25">
        <v>1</v>
      </c>
    </row>
    <row r="10" spans="1:42" x14ac:dyDescent="0.3">
      <c r="D10" s="8" t="s">
        <v>49</v>
      </c>
      <c r="E10" s="4">
        <v>220</v>
      </c>
      <c r="F10" s="4">
        <v>220</v>
      </c>
      <c r="G10" s="8" t="s">
        <v>18</v>
      </c>
      <c r="H10" s="4">
        <v>3513.7</v>
      </c>
      <c r="T10" s="8" t="s">
        <v>9</v>
      </c>
      <c r="U10" s="4">
        <v>8180</v>
      </c>
      <c r="V10" s="22">
        <v>1</v>
      </c>
      <c r="AM10" s="25">
        <v>1</v>
      </c>
    </row>
    <row r="11" spans="1:42" x14ac:dyDescent="0.3">
      <c r="D11" s="8" t="s">
        <v>9</v>
      </c>
      <c r="E11" s="4">
        <v>8180</v>
      </c>
      <c r="F11" s="4">
        <v>8180</v>
      </c>
      <c r="G11" s="8" t="s">
        <v>23</v>
      </c>
      <c r="H11" s="4">
        <v>669.39999999999986</v>
      </c>
      <c r="AM11" s="25">
        <v>1</v>
      </c>
    </row>
    <row r="12" spans="1:42" x14ac:dyDescent="0.3">
      <c r="AM12" s="25">
        <v>1</v>
      </c>
    </row>
    <row r="13" spans="1:42" x14ac:dyDescent="0.3">
      <c r="AM13" s="25">
        <v>1</v>
      </c>
    </row>
    <row r="14" spans="1:42" x14ac:dyDescent="0.3">
      <c r="AM14" s="25">
        <v>1</v>
      </c>
    </row>
    <row r="15" spans="1:42" x14ac:dyDescent="0.3">
      <c r="AM15" s="25">
        <v>1</v>
      </c>
    </row>
    <row r="16" spans="1:42" x14ac:dyDescent="0.3">
      <c r="AM16" s="25">
        <v>1</v>
      </c>
    </row>
    <row r="17" spans="39:39" x14ac:dyDescent="0.3">
      <c r="AM17" s="25">
        <v>1</v>
      </c>
    </row>
    <row r="18" spans="39:39" x14ac:dyDescent="0.3">
      <c r="AM18" s="25">
        <v>1</v>
      </c>
    </row>
    <row r="19" spans="39:39" x14ac:dyDescent="0.3">
      <c r="AM19" s="25">
        <v>1</v>
      </c>
    </row>
    <row r="20" spans="39:39" x14ac:dyDescent="0.3">
      <c r="AM20" s="25">
        <v>1</v>
      </c>
    </row>
    <row r="21" spans="39:39" x14ac:dyDescent="0.3">
      <c r="AM21" s="25">
        <v>1</v>
      </c>
    </row>
    <row r="22" spans="39:39" x14ac:dyDescent="0.3">
      <c r="AM22" s="25">
        <v>1</v>
      </c>
    </row>
    <row r="23" spans="39:39" x14ac:dyDescent="0.3">
      <c r="AM23" s="25">
        <v>1</v>
      </c>
    </row>
    <row r="24" spans="39:39" x14ac:dyDescent="0.3">
      <c r="AM24" s="25">
        <v>1</v>
      </c>
    </row>
    <row r="25" spans="39:39" x14ac:dyDescent="0.3">
      <c r="AM25" s="25">
        <v>1</v>
      </c>
    </row>
    <row r="26" spans="39:39" x14ac:dyDescent="0.3">
      <c r="AM26" s="25">
        <v>1</v>
      </c>
    </row>
    <row r="27" spans="39:39" x14ac:dyDescent="0.3">
      <c r="AM27" s="25">
        <v>1</v>
      </c>
    </row>
    <row r="28" spans="39:39" x14ac:dyDescent="0.3">
      <c r="AM28" s="25">
        <v>1</v>
      </c>
    </row>
    <row r="29" spans="39:39" x14ac:dyDescent="0.3">
      <c r="AM29" s="25">
        <v>1</v>
      </c>
    </row>
    <row r="30" spans="39:39" x14ac:dyDescent="0.3">
      <c r="AM30" s="25">
        <v>1</v>
      </c>
    </row>
    <row r="31" spans="39:39" x14ac:dyDescent="0.3">
      <c r="AM31" s="25">
        <v>1</v>
      </c>
    </row>
    <row r="32" spans="39:39" x14ac:dyDescent="0.3">
      <c r="AM32" s="25">
        <v>1</v>
      </c>
    </row>
    <row r="33" spans="39:39" x14ac:dyDescent="0.3">
      <c r="AM33" s="25">
        <v>1</v>
      </c>
    </row>
    <row r="34" spans="39:39" x14ac:dyDescent="0.3">
      <c r="AM34" s="25">
        <v>1</v>
      </c>
    </row>
    <row r="35" spans="39:39" x14ac:dyDescent="0.3">
      <c r="AM35" s="25">
        <v>1</v>
      </c>
    </row>
    <row r="36" spans="39:39" x14ac:dyDescent="0.3">
      <c r="AM36" s="25">
        <v>1</v>
      </c>
    </row>
    <row r="37" spans="39:39" x14ac:dyDescent="0.3">
      <c r="AM37" s="25">
        <v>1</v>
      </c>
    </row>
    <row r="38" spans="39:39" x14ac:dyDescent="0.3">
      <c r="AM38" s="25">
        <v>1</v>
      </c>
    </row>
    <row r="39" spans="39:39" x14ac:dyDescent="0.3">
      <c r="AM39" s="25">
        <v>1</v>
      </c>
    </row>
    <row r="40" spans="39:39" x14ac:dyDescent="0.3">
      <c r="AM40" s="25">
        <v>1</v>
      </c>
    </row>
    <row r="41" spans="39:39" x14ac:dyDescent="0.3">
      <c r="AM41" s="25">
        <v>1</v>
      </c>
    </row>
    <row r="42" spans="39:39" x14ac:dyDescent="0.3">
      <c r="AM42" s="25">
        <v>1</v>
      </c>
    </row>
    <row r="43" spans="39:39" x14ac:dyDescent="0.3">
      <c r="AM43" s="25">
        <v>1</v>
      </c>
    </row>
    <row r="44" spans="39:39" x14ac:dyDescent="0.3">
      <c r="AM44" s="25">
        <v>1</v>
      </c>
    </row>
    <row r="45" spans="39:39" x14ac:dyDescent="0.3">
      <c r="AM45" s="25">
        <v>1</v>
      </c>
    </row>
    <row r="46" spans="39:39" x14ac:dyDescent="0.3">
      <c r="AM46" s="25">
        <v>1</v>
      </c>
    </row>
    <row r="47" spans="39:39" x14ac:dyDescent="0.3">
      <c r="AM47" s="25">
        <v>1</v>
      </c>
    </row>
    <row r="48" spans="39:39" x14ac:dyDescent="0.3">
      <c r="AM48" s="25">
        <v>1</v>
      </c>
    </row>
    <row r="49" spans="39:39" x14ac:dyDescent="0.3">
      <c r="AM49" s="25">
        <v>1</v>
      </c>
    </row>
    <row r="50" spans="39:39" x14ac:dyDescent="0.3">
      <c r="AM50" s="25">
        <v>1</v>
      </c>
    </row>
    <row r="51" spans="39:39" x14ac:dyDescent="0.3">
      <c r="AM51" s="25">
        <v>1</v>
      </c>
    </row>
    <row r="52" spans="39:39" x14ac:dyDescent="0.3">
      <c r="AM52" s="25">
        <v>1</v>
      </c>
    </row>
    <row r="53" spans="39:39" x14ac:dyDescent="0.3">
      <c r="AM53" s="25">
        <v>1</v>
      </c>
    </row>
    <row r="54" spans="39:39" x14ac:dyDescent="0.3">
      <c r="AM54" s="25">
        <v>1</v>
      </c>
    </row>
    <row r="55" spans="39:39" x14ac:dyDescent="0.3">
      <c r="AM55" s="25">
        <v>1</v>
      </c>
    </row>
    <row r="56" spans="39:39" x14ac:dyDescent="0.3">
      <c r="AM56" s="25">
        <v>1</v>
      </c>
    </row>
    <row r="57" spans="39:39" x14ac:dyDescent="0.3">
      <c r="AM57" s="25">
        <v>1</v>
      </c>
    </row>
    <row r="58" spans="39:39" x14ac:dyDescent="0.3">
      <c r="AM58" s="25">
        <v>1</v>
      </c>
    </row>
    <row r="59" spans="39:39" x14ac:dyDescent="0.3">
      <c r="AM59" s="25">
        <v>1</v>
      </c>
    </row>
    <row r="60" spans="39:39" x14ac:dyDescent="0.3">
      <c r="AM60" s="2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71B98-3BFA-4A79-97F8-02CE4E7FB5B7}">
  <sheetPr codeName="Feuil3"/>
  <dimension ref="A1:I20"/>
  <sheetViews>
    <sheetView workbookViewId="0">
      <selection activeCell="F22" sqref="F22"/>
    </sheetView>
  </sheetViews>
  <sheetFormatPr baseColWidth="10" defaultRowHeight="14.4" x14ac:dyDescent="0.3"/>
  <cols>
    <col min="1" max="1" width="40" bestFit="1" customWidth="1"/>
    <col min="2" max="2" width="13" bestFit="1" customWidth="1"/>
    <col min="3" max="3" width="13.6640625" customWidth="1"/>
    <col min="5" max="6" width="11.44140625" customWidth="1"/>
    <col min="7" max="7" width="19.6640625" customWidth="1"/>
    <col min="9" max="9" width="17.6640625" customWidth="1"/>
  </cols>
  <sheetData>
    <row r="1" spans="1:9" x14ac:dyDescent="0.3">
      <c r="A1" s="19" t="s">
        <v>1</v>
      </c>
      <c r="B1" s="19" t="s">
        <v>4</v>
      </c>
      <c r="C1" s="19" t="s">
        <v>0</v>
      </c>
      <c r="D1" s="19" t="s">
        <v>2</v>
      </c>
      <c r="E1" s="19" t="s">
        <v>32</v>
      </c>
      <c r="F1" s="19" t="s">
        <v>33</v>
      </c>
      <c r="G1" s="19" t="s">
        <v>8</v>
      </c>
      <c r="H1" s="19" t="s">
        <v>3</v>
      </c>
      <c r="I1" s="19" t="s">
        <v>19</v>
      </c>
    </row>
    <row r="2" spans="1:9" x14ac:dyDescent="0.3">
      <c r="A2" s="5" t="s">
        <v>50</v>
      </c>
      <c r="B2" s="5" t="s">
        <v>6</v>
      </c>
      <c r="C2" s="5" t="s">
        <v>46</v>
      </c>
      <c r="D2" s="6">
        <v>45300</v>
      </c>
      <c r="E2" s="5" t="s">
        <v>55</v>
      </c>
      <c r="F2" s="5" t="s">
        <v>61</v>
      </c>
      <c r="G2" s="5">
        <v>20</v>
      </c>
      <c r="H2" s="7">
        <v>30</v>
      </c>
      <c r="I2" s="7">
        <f>Tableau1[[#This Row],[Prix Net]]*Tableau1[[#This Row],[Quantité ]]</f>
        <v>600</v>
      </c>
    </row>
    <row r="3" spans="1:9" x14ac:dyDescent="0.3">
      <c r="A3" s="5" t="s">
        <v>50</v>
      </c>
      <c r="B3" s="5" t="s">
        <v>6</v>
      </c>
      <c r="C3" s="5" t="s">
        <v>46</v>
      </c>
      <c r="D3" s="6">
        <v>45331</v>
      </c>
      <c r="E3" s="5" t="s">
        <v>57</v>
      </c>
      <c r="F3" s="5" t="s">
        <v>61</v>
      </c>
      <c r="G3" s="5">
        <v>20</v>
      </c>
      <c r="H3" s="7">
        <v>30</v>
      </c>
      <c r="I3" s="7">
        <f>Tableau1[[#This Row],[Prix Net]]*Tableau1[[#This Row],[Quantité ]]</f>
        <v>600</v>
      </c>
    </row>
    <row r="4" spans="1:9" x14ac:dyDescent="0.3">
      <c r="A4" s="5" t="s">
        <v>50</v>
      </c>
      <c r="B4" s="5" t="s">
        <v>6</v>
      </c>
      <c r="C4" s="5" t="s">
        <v>46</v>
      </c>
      <c r="D4" s="6">
        <v>45422</v>
      </c>
      <c r="E4" s="5" t="s">
        <v>56</v>
      </c>
      <c r="F4" s="5" t="s">
        <v>61</v>
      </c>
      <c r="G4" s="5">
        <v>20</v>
      </c>
      <c r="H4" s="7">
        <v>30</v>
      </c>
      <c r="I4" s="7">
        <f>Tableau1[[#This Row],[Prix Net]]*Tableau1[[#This Row],[Quantité ]]</f>
        <v>600</v>
      </c>
    </row>
    <row r="5" spans="1:9" x14ac:dyDescent="0.3">
      <c r="A5" s="5" t="s">
        <v>50</v>
      </c>
      <c r="B5" s="5" t="s">
        <v>6</v>
      </c>
      <c r="C5" s="5" t="s">
        <v>46</v>
      </c>
      <c r="D5" s="6">
        <v>45423</v>
      </c>
      <c r="E5" s="5" t="s">
        <v>58</v>
      </c>
      <c r="F5" s="5" t="s">
        <v>61</v>
      </c>
      <c r="G5" s="5">
        <v>20</v>
      </c>
      <c r="H5" s="7">
        <v>30</v>
      </c>
      <c r="I5" s="7">
        <f>Tableau1[[#This Row],[Prix Net]]*Tableau1[[#This Row],[Quantité ]]</f>
        <v>600</v>
      </c>
    </row>
    <row r="6" spans="1:9" x14ac:dyDescent="0.3">
      <c r="A6" s="5" t="s">
        <v>50</v>
      </c>
      <c r="B6" s="5" t="s">
        <v>6</v>
      </c>
      <c r="C6" s="5" t="s">
        <v>46</v>
      </c>
      <c r="D6" s="6">
        <v>45424</v>
      </c>
      <c r="E6" s="5" t="s">
        <v>59</v>
      </c>
      <c r="F6" s="5" t="s">
        <v>61</v>
      </c>
      <c r="G6" s="5">
        <v>20</v>
      </c>
      <c r="H6" s="7">
        <v>30</v>
      </c>
      <c r="I6" s="7">
        <f>Tableau1[[#This Row],[Prix Net]]*Tableau1[[#This Row],[Quantité ]]</f>
        <v>600</v>
      </c>
    </row>
    <row r="7" spans="1:9" x14ac:dyDescent="0.3">
      <c r="A7" s="5" t="s">
        <v>50</v>
      </c>
      <c r="B7" s="5" t="s">
        <v>6</v>
      </c>
      <c r="C7" s="5" t="s">
        <v>46</v>
      </c>
      <c r="D7" s="6">
        <v>45486</v>
      </c>
      <c r="E7" s="5" t="s">
        <v>60</v>
      </c>
      <c r="F7" s="5" t="s">
        <v>62</v>
      </c>
      <c r="G7" s="5">
        <v>20</v>
      </c>
      <c r="H7" s="7">
        <v>20</v>
      </c>
      <c r="I7" s="7">
        <f>Tableau1[[#This Row],[Prix Net]]*Tableau1[[#This Row],[Quantité ]]</f>
        <v>400</v>
      </c>
    </row>
    <row r="8" spans="1:9" x14ac:dyDescent="0.3">
      <c r="A8" s="5" t="s">
        <v>50</v>
      </c>
      <c r="B8" s="5" t="s">
        <v>6</v>
      </c>
      <c r="C8" s="5" t="s">
        <v>46</v>
      </c>
      <c r="D8" s="6">
        <v>45487</v>
      </c>
      <c r="E8" s="5" t="s">
        <v>55</v>
      </c>
      <c r="F8" s="5" t="s">
        <v>62</v>
      </c>
      <c r="G8" s="5">
        <v>20</v>
      </c>
      <c r="H8" s="7">
        <v>20</v>
      </c>
      <c r="I8" s="7">
        <f>Tableau1[[#This Row],[Prix Net]]*Tableau1[[#This Row],[Quantité ]]</f>
        <v>400</v>
      </c>
    </row>
    <row r="9" spans="1:9" x14ac:dyDescent="0.3">
      <c r="A9" s="5" t="s">
        <v>51</v>
      </c>
      <c r="B9" s="5" t="s">
        <v>7</v>
      </c>
      <c r="C9" s="5" t="s">
        <v>47</v>
      </c>
      <c r="D9" s="6">
        <v>45488</v>
      </c>
      <c r="E9" s="5" t="s">
        <v>57</v>
      </c>
      <c r="F9" s="5" t="s">
        <v>62</v>
      </c>
      <c r="G9" s="5">
        <v>20</v>
      </c>
      <c r="H9" s="7">
        <v>20</v>
      </c>
      <c r="I9" s="7">
        <f>Tableau1[[#This Row],[Prix Net]]*Tableau1[[#This Row],[Quantité ]]</f>
        <v>400</v>
      </c>
    </row>
    <row r="10" spans="1:9" x14ac:dyDescent="0.3">
      <c r="A10" s="5" t="s">
        <v>51</v>
      </c>
      <c r="B10" s="5" t="s">
        <v>7</v>
      </c>
      <c r="C10" s="5" t="s">
        <v>47</v>
      </c>
      <c r="D10" s="6">
        <v>45489</v>
      </c>
      <c r="E10" s="5" t="s">
        <v>56</v>
      </c>
      <c r="F10" s="5" t="s">
        <v>62</v>
      </c>
      <c r="G10" s="5">
        <v>20</v>
      </c>
      <c r="H10" s="7">
        <v>20</v>
      </c>
      <c r="I10" s="7">
        <f>Tableau1[[#This Row],[Prix Net]]*Tableau1[[#This Row],[Quantité ]]</f>
        <v>400</v>
      </c>
    </row>
    <row r="11" spans="1:9" x14ac:dyDescent="0.3">
      <c r="A11" s="5" t="s">
        <v>52</v>
      </c>
      <c r="B11" s="5" t="s">
        <v>6</v>
      </c>
      <c r="C11" s="5" t="s">
        <v>48</v>
      </c>
      <c r="D11" s="6">
        <v>45490</v>
      </c>
      <c r="E11" s="5" t="s">
        <v>58</v>
      </c>
      <c r="F11" s="5" t="s">
        <v>63</v>
      </c>
      <c r="G11" s="5">
        <v>20</v>
      </c>
      <c r="H11" s="7">
        <v>20</v>
      </c>
      <c r="I11" s="7">
        <f>Tableau1[[#This Row],[Prix Net]]*Tableau1[[#This Row],[Quantité ]]</f>
        <v>400</v>
      </c>
    </row>
    <row r="12" spans="1:9" x14ac:dyDescent="0.3">
      <c r="A12" s="5" t="s">
        <v>51</v>
      </c>
      <c r="B12" s="5" t="s">
        <v>7</v>
      </c>
      <c r="C12" s="5" t="s">
        <v>47</v>
      </c>
      <c r="D12" s="6">
        <v>45522</v>
      </c>
      <c r="E12" s="5" t="s">
        <v>59</v>
      </c>
      <c r="F12" s="5" t="s">
        <v>63</v>
      </c>
      <c r="G12" s="5">
        <v>20</v>
      </c>
      <c r="H12" s="7">
        <v>20</v>
      </c>
      <c r="I12" s="7">
        <f>Tableau1[[#This Row],[Prix Net]]*Tableau1[[#This Row],[Quantité ]]</f>
        <v>400</v>
      </c>
    </row>
    <row r="13" spans="1:9" x14ac:dyDescent="0.3">
      <c r="A13" s="5" t="s">
        <v>51</v>
      </c>
      <c r="B13" s="5" t="s">
        <v>7</v>
      </c>
      <c r="C13" s="5" t="s">
        <v>47</v>
      </c>
      <c r="D13" s="6">
        <v>45523</v>
      </c>
      <c r="E13" s="5" t="s">
        <v>60</v>
      </c>
      <c r="F13" s="5" t="s">
        <v>63</v>
      </c>
      <c r="G13" s="5">
        <v>20</v>
      </c>
      <c r="H13" s="7">
        <v>50</v>
      </c>
      <c r="I13" s="7">
        <f>Tableau1[[#This Row],[Prix Net]]*Tableau1[[#This Row],[Quantité ]]</f>
        <v>1000</v>
      </c>
    </row>
    <row r="14" spans="1:9" x14ac:dyDescent="0.3">
      <c r="A14" s="5" t="s">
        <v>51</v>
      </c>
      <c r="B14" s="5" t="s">
        <v>7</v>
      </c>
      <c r="C14" s="5" t="s">
        <v>47</v>
      </c>
      <c r="D14" s="6">
        <v>45524</v>
      </c>
      <c r="E14" s="5" t="s">
        <v>55</v>
      </c>
      <c r="F14" s="5" t="s">
        <v>63</v>
      </c>
      <c r="G14" s="5">
        <v>20</v>
      </c>
      <c r="H14" s="7">
        <v>50</v>
      </c>
      <c r="I14" s="7">
        <f>Tableau1[[#This Row],[Prix Net]]*Tableau1[[#This Row],[Quantité ]]</f>
        <v>1000</v>
      </c>
    </row>
    <row r="15" spans="1:9" x14ac:dyDescent="0.3">
      <c r="A15" s="5" t="s">
        <v>53</v>
      </c>
      <c r="B15" s="5" t="s">
        <v>6</v>
      </c>
      <c r="C15" s="5" t="s">
        <v>65</v>
      </c>
      <c r="D15" s="6">
        <v>45525</v>
      </c>
      <c r="E15" s="5" t="s">
        <v>57</v>
      </c>
      <c r="F15" s="5" t="s">
        <v>63</v>
      </c>
      <c r="G15" s="5">
        <v>4</v>
      </c>
      <c r="H15" s="7">
        <v>50</v>
      </c>
      <c r="I15" s="7">
        <f>Tableau1[[#This Row],[Prix Net]]*Tableau1[[#This Row],[Quantité ]]</f>
        <v>200</v>
      </c>
    </row>
    <row r="16" spans="1:9" x14ac:dyDescent="0.3">
      <c r="A16" s="5" t="s">
        <v>53</v>
      </c>
      <c r="B16" s="5" t="s">
        <v>6</v>
      </c>
      <c r="C16" s="5" t="s">
        <v>65</v>
      </c>
      <c r="D16" s="6">
        <v>45526</v>
      </c>
      <c r="E16" s="5" t="s">
        <v>56</v>
      </c>
      <c r="F16" s="5" t="s">
        <v>63</v>
      </c>
      <c r="G16" s="5">
        <v>4</v>
      </c>
      <c r="H16" s="7">
        <v>50</v>
      </c>
      <c r="I16" s="7">
        <f>Tableau1[[#This Row],[Prix Net]]*Tableau1[[#This Row],[Quantité ]]</f>
        <v>200</v>
      </c>
    </row>
    <row r="17" spans="1:9" x14ac:dyDescent="0.3">
      <c r="A17" s="5" t="s">
        <v>51</v>
      </c>
      <c r="B17" s="5" t="s">
        <v>7</v>
      </c>
      <c r="C17" s="5" t="s">
        <v>47</v>
      </c>
      <c r="D17" s="6">
        <v>45558</v>
      </c>
      <c r="E17" s="5" t="s">
        <v>58</v>
      </c>
      <c r="F17" s="5" t="s">
        <v>62</v>
      </c>
      <c r="G17" s="5">
        <v>4</v>
      </c>
      <c r="H17" s="7">
        <v>20</v>
      </c>
      <c r="I17" s="7">
        <f>Tableau1[[#This Row],[Prix Net]]*Tableau1[[#This Row],[Quantité ]]</f>
        <v>80</v>
      </c>
    </row>
    <row r="18" spans="1:9" x14ac:dyDescent="0.3">
      <c r="A18" s="5" t="s">
        <v>54</v>
      </c>
      <c r="B18" s="5" t="s">
        <v>34</v>
      </c>
      <c r="C18" s="5" t="s">
        <v>66</v>
      </c>
      <c r="D18" s="6">
        <v>45559</v>
      </c>
      <c r="E18" s="5" t="s">
        <v>59</v>
      </c>
      <c r="F18" s="5" t="s">
        <v>67</v>
      </c>
      <c r="G18" s="5">
        <v>4</v>
      </c>
      <c r="H18" s="7">
        <v>20</v>
      </c>
      <c r="I18" s="7">
        <f>Tableau1[[#This Row],[Prix Net]]*Tableau1[[#This Row],[Quantité ]]</f>
        <v>80</v>
      </c>
    </row>
    <row r="19" spans="1:9" x14ac:dyDescent="0.3">
      <c r="A19" s="5" t="s">
        <v>54</v>
      </c>
      <c r="B19" s="5" t="s">
        <v>34</v>
      </c>
      <c r="C19" s="5" t="s">
        <v>66</v>
      </c>
      <c r="D19" s="6">
        <v>45651</v>
      </c>
      <c r="E19" s="5" t="s">
        <v>60</v>
      </c>
      <c r="F19" s="5" t="s">
        <v>67</v>
      </c>
      <c r="G19" s="5">
        <v>1</v>
      </c>
      <c r="H19" s="7">
        <v>20</v>
      </c>
      <c r="I19" s="7">
        <f>Tableau1[[#This Row],[Prix Net]]*Tableau1[[#This Row],[Quantité ]]</f>
        <v>20</v>
      </c>
    </row>
    <row r="20" spans="1:9" x14ac:dyDescent="0.3">
      <c r="A20" s="5" t="s">
        <v>54</v>
      </c>
      <c r="B20" s="5" t="s">
        <v>34</v>
      </c>
      <c r="C20" s="5" t="s">
        <v>66</v>
      </c>
      <c r="D20" s="6">
        <v>45652</v>
      </c>
      <c r="E20" s="5" t="s">
        <v>55</v>
      </c>
      <c r="F20" s="5" t="s">
        <v>67</v>
      </c>
      <c r="G20" s="5">
        <v>10</v>
      </c>
      <c r="H20" s="7">
        <v>20</v>
      </c>
      <c r="I20" s="7">
        <f>Tableau1[[#This Row],[Prix Net]]*Tableau1[[#This Row],[Quantité ]]</f>
        <v>200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55721-CF7D-4C33-8C18-CBDFB33ED914}">
  <sheetPr codeName="Feuil4"/>
  <dimension ref="A1:F11"/>
  <sheetViews>
    <sheetView workbookViewId="0">
      <selection activeCell="E7" sqref="E7"/>
    </sheetView>
  </sheetViews>
  <sheetFormatPr baseColWidth="10" defaultRowHeight="14.4" x14ac:dyDescent="0.3"/>
  <sheetData>
    <row r="1" spans="1:6" x14ac:dyDescent="0.3">
      <c r="A1" s="3" t="s">
        <v>24</v>
      </c>
      <c r="B1" t="s">
        <v>22</v>
      </c>
    </row>
    <row r="3" spans="1:6" x14ac:dyDescent="0.3">
      <c r="A3" s="3" t="s">
        <v>27</v>
      </c>
      <c r="B3" t="s">
        <v>28</v>
      </c>
      <c r="E3" s="3" t="s">
        <v>36</v>
      </c>
    </row>
    <row r="4" spans="1:6" x14ac:dyDescent="0.3">
      <c r="A4" t="s">
        <v>28</v>
      </c>
      <c r="B4" s="4">
        <v>5000</v>
      </c>
      <c r="D4" s="3" t="s">
        <v>24</v>
      </c>
      <c r="E4" t="s">
        <v>27</v>
      </c>
      <c r="F4" t="s">
        <v>37</v>
      </c>
    </row>
    <row r="5" spans="1:6" x14ac:dyDescent="0.3">
      <c r="D5" s="14" t="s">
        <v>29</v>
      </c>
      <c r="E5" s="4">
        <v>3000</v>
      </c>
      <c r="F5" s="4">
        <v>3000</v>
      </c>
    </row>
    <row r="6" spans="1:6" x14ac:dyDescent="0.3">
      <c r="D6" s="14" t="s">
        <v>30</v>
      </c>
      <c r="E6" s="4">
        <v>200</v>
      </c>
      <c r="F6" s="4">
        <v>200</v>
      </c>
    </row>
    <row r="7" spans="1:6" x14ac:dyDescent="0.3">
      <c r="D7" s="14" t="s">
        <v>31</v>
      </c>
      <c r="E7" s="4">
        <v>500</v>
      </c>
      <c r="F7" s="4">
        <v>500</v>
      </c>
    </row>
    <row r="8" spans="1:6" x14ac:dyDescent="0.3">
      <c r="D8" s="14" t="s">
        <v>43</v>
      </c>
      <c r="E8" s="4">
        <v>200</v>
      </c>
      <c r="F8" s="4">
        <v>200</v>
      </c>
    </row>
    <row r="9" spans="1:6" x14ac:dyDescent="0.3">
      <c r="D9" s="14" t="s">
        <v>44</v>
      </c>
      <c r="E9" s="4">
        <v>300</v>
      </c>
      <c r="F9" s="4">
        <v>300</v>
      </c>
    </row>
    <row r="10" spans="1:6" x14ac:dyDescent="0.3">
      <c r="D10" s="14" t="s">
        <v>45</v>
      </c>
      <c r="E10" s="4">
        <v>800</v>
      </c>
      <c r="F10" s="4">
        <v>800</v>
      </c>
    </row>
    <row r="11" spans="1:6" x14ac:dyDescent="0.3">
      <c r="D11" s="14" t="s">
        <v>9</v>
      </c>
      <c r="E11" s="4">
        <v>5000</v>
      </c>
      <c r="F11" s="4">
        <v>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71FE9-5DC7-46C4-AC61-30760931D0A6}">
  <sheetPr codeName="Feuil5"/>
  <dimension ref="A1:E8"/>
  <sheetViews>
    <sheetView workbookViewId="0">
      <selection activeCell="D9" sqref="D9"/>
    </sheetView>
  </sheetViews>
  <sheetFormatPr baseColWidth="10" defaultRowHeight="14.4" x14ac:dyDescent="0.3"/>
  <cols>
    <col min="1" max="1" width="26" bestFit="1" customWidth="1"/>
    <col min="2" max="2" width="11.5546875" customWidth="1"/>
  </cols>
  <sheetData>
    <row r="1" spans="1:5" x14ac:dyDescent="0.3">
      <c r="A1" t="s">
        <v>26</v>
      </c>
    </row>
    <row r="2" spans="1:5" x14ac:dyDescent="0.3">
      <c r="A2" t="s">
        <v>24</v>
      </c>
      <c r="B2" t="s">
        <v>25</v>
      </c>
    </row>
    <row r="3" spans="1:5" x14ac:dyDescent="0.3">
      <c r="A3" s="15">
        <v>45474</v>
      </c>
      <c r="B3" s="16">
        <v>3000</v>
      </c>
      <c r="D3" s="17">
        <v>45474</v>
      </c>
      <c r="E3" s="16">
        <v>3411.3</v>
      </c>
    </row>
    <row r="4" spans="1:5" x14ac:dyDescent="0.3">
      <c r="A4" s="15">
        <v>45505</v>
      </c>
      <c r="B4" s="16">
        <v>200</v>
      </c>
      <c r="D4" s="18">
        <v>45505</v>
      </c>
      <c r="E4" s="16">
        <f>17.7+18.9+26.6+17.7+28.48+135.2+74.1+82.8+23.6+53.1+41.3+50.3+10+16.8+13.4+72.3+47.4+29.5+17.7+20+53.4+11.8+47.2+20.7+12.5+20.7+20.7+17.7+17.7+69.9+29.5+38.88+11.8+35.4+44.5+17.7+23.6+15+17+38.5+29.5+34.5+39.1+29.6+5+16.8+19.8+29.5+26.7+17.7+59+20.7+44.5+29.6+44.16+11.8+36.5+5+33.4+11.5+34.2+23.6+50.4+38.5</f>
        <v>2052.12</v>
      </c>
    </row>
    <row r="5" spans="1:5" x14ac:dyDescent="0.3">
      <c r="A5" s="15">
        <v>45536</v>
      </c>
      <c r="B5" s="16">
        <v>500</v>
      </c>
      <c r="D5" s="17">
        <v>45536</v>
      </c>
      <c r="E5" s="16">
        <f>106.6+6+23.6+23.5+23.6+92.5+20.2+28.32+4.75+35.4+32.5+17.8+13.9+25+35+20.2+16.8+5+35.4+30+15.9+21.8+20.7+47.3+26.7+21.8</f>
        <v>750.26999999999975</v>
      </c>
    </row>
    <row r="6" spans="1:5" x14ac:dyDescent="0.3">
      <c r="A6" s="26">
        <v>45566</v>
      </c>
      <c r="B6" s="27">
        <v>200</v>
      </c>
    </row>
    <row r="7" spans="1:5" x14ac:dyDescent="0.3">
      <c r="A7" s="26">
        <v>45597</v>
      </c>
      <c r="B7" s="27">
        <v>300</v>
      </c>
    </row>
    <row r="8" spans="1:5" x14ac:dyDescent="0.3">
      <c r="A8" s="26">
        <v>45627</v>
      </c>
      <c r="B8" s="27">
        <v>800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862C00C759AC4B9B1706BE9088A6A5" ma:contentTypeVersion="15" ma:contentTypeDescription="Crée un document." ma:contentTypeScope="" ma:versionID="96413973e35edb1f88e9d4637630597a">
  <xsd:schema xmlns:xsd="http://www.w3.org/2001/XMLSchema" xmlns:xs="http://www.w3.org/2001/XMLSchema" xmlns:p="http://schemas.microsoft.com/office/2006/metadata/properties" xmlns:ns2="4702cae8-b65a-4805-ae66-c0225d51836b" xmlns:ns3="ded762c6-9c0f-428c-ba92-3f93dffe958b" targetNamespace="http://schemas.microsoft.com/office/2006/metadata/properties" ma:root="true" ma:fieldsID="bbf06e10806d12fe9fb312a8a6c73601" ns2:_="" ns3:_="">
    <xsd:import namespace="4702cae8-b65a-4805-ae66-c0225d51836b"/>
    <xsd:import namespace="ded762c6-9c0f-428c-ba92-3f93dffe95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2cae8-b65a-4805-ae66-c0225d5183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a7a06968-245f-43f4-9604-68eb70fcb43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d762c6-9c0f-428c-ba92-3f93dffe958b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546ef761-3447-461a-acae-3f30b45d0533}" ma:internalName="TaxCatchAll" ma:showField="CatchAllData" ma:web="ded762c6-9c0f-428c-ba92-3f93dffe95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702cae8-b65a-4805-ae66-c0225d51836b">
      <Terms xmlns="http://schemas.microsoft.com/office/infopath/2007/PartnerControls"/>
    </lcf76f155ced4ddcb4097134ff3c332f>
    <TaxCatchAll xmlns="ded762c6-9c0f-428c-ba92-3f93dffe958b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1D5971-4DCE-4C37-905B-3D358C1661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02cae8-b65a-4805-ae66-c0225d51836b"/>
    <ds:schemaRef ds:uri="ded762c6-9c0f-428c-ba92-3f93dffe95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24371E-D195-4A3A-AA3B-EBDBB616A1DC}">
  <ds:schemaRefs>
    <ds:schemaRef ds:uri="http://schemas.microsoft.com/office/2006/metadata/properties"/>
    <ds:schemaRef ds:uri="http://www.w3.org/XML/1998/namespace"/>
    <ds:schemaRef ds:uri="ded762c6-9c0f-428c-ba92-3f93dffe958b"/>
    <ds:schemaRef ds:uri="4702cae8-b65a-4805-ae66-c0225d51836b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A1C54FF-721A-4558-9B0F-8036893C215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A26E744-E9DC-4EDC-8FBA-C03E63D46F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STATISTIQUES</vt:lpstr>
      <vt:lpstr>TCD STATS ventes pro</vt:lpstr>
      <vt:lpstr>SOURCE ANNEE 2024 PRO</vt:lpstr>
      <vt:lpstr>TCD boutique</vt:lpstr>
      <vt:lpstr>SOURCE 2024 BOUTIQUE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Maëla JEAN</dc:creator>
  <cp:lastModifiedBy>Samuel JAY</cp:lastModifiedBy>
  <dcterms:created xsi:type="dcterms:W3CDTF">2024-01-31T15:42:44Z</dcterms:created>
  <dcterms:modified xsi:type="dcterms:W3CDTF">2026-03-29T16:07:06Z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0x010100C8862C00C759AC4B9B1706BE9088A6A5</vt:lpwstr>
  </property>
  <property fmtid="{D5CDD505-2E9C-101B-9397-08002B2CF9AE}" pid="3" name="MediaServiceImageTags">
    <vt:lpwstr/>
  </property>
</Properties>
</file>